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CE745F4-CF73-468C-93BF-CD355DC157CA}" xr6:coauthVersionLast="47" xr6:coauthVersionMax="47" xr10:uidLastSave="{00000000-0000-0000-0000-000000000000}"/>
  <bookViews>
    <workbookView xWindow="-108" yWindow="-108" windowWidth="23256" windowHeight="12456" xr2:uid="{B585BD56-BCE7-4884-8043-A4EEAC49A7DC}"/>
  </bookViews>
  <sheets>
    <sheet name="SEPTEMBER 2026" sheetId="1" r:id="rId1"/>
  </sheets>
  <definedNames>
    <definedName name="a" localSheetId="0">'SEPTEMBER 2026'!$WKM$97</definedName>
    <definedName name="AA" localSheetId="0">'SEPTEMBER 2026'!$WKM$97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3" i="1" l="1"/>
  <c r="B162" i="1"/>
  <c r="BF158" i="1"/>
  <c r="C141" i="1" s="1"/>
  <c r="DX157" i="1"/>
  <c r="DS157" i="1"/>
  <c r="DN157" i="1"/>
  <c r="DI157" i="1"/>
  <c r="DD157" i="1"/>
  <c r="CY157" i="1"/>
  <c r="CT157" i="1"/>
  <c r="CO157" i="1"/>
  <c r="CJ157" i="1"/>
  <c r="CE157" i="1"/>
  <c r="BZ157" i="1"/>
  <c r="BU157" i="1"/>
  <c r="BP157" i="1"/>
  <c r="BK157" i="1"/>
  <c r="BF157" i="1"/>
  <c r="BA157" i="1"/>
  <c r="AV157" i="1"/>
  <c r="AQ157" i="1"/>
  <c r="AL157" i="1"/>
  <c r="AG157" i="1"/>
  <c r="AB157" i="1"/>
  <c r="W157" i="1"/>
  <c r="R157" i="1"/>
  <c r="M157" i="1"/>
  <c r="H157" i="1"/>
  <c r="DX156" i="1"/>
  <c r="DS156" i="1"/>
  <c r="DN156" i="1"/>
  <c r="DI156" i="1"/>
  <c r="DD156" i="1"/>
  <c r="CY156" i="1"/>
  <c r="CT156" i="1"/>
  <c r="CO156" i="1"/>
  <c r="CJ156" i="1"/>
  <c r="CE156" i="1"/>
  <c r="BZ156" i="1"/>
  <c r="BU156" i="1"/>
  <c r="BP156" i="1"/>
  <c r="BK156" i="1"/>
  <c r="BF156" i="1"/>
  <c r="BA156" i="1"/>
  <c r="AV156" i="1"/>
  <c r="AQ156" i="1"/>
  <c r="AL156" i="1"/>
  <c r="AG156" i="1"/>
  <c r="AB156" i="1"/>
  <c r="W156" i="1"/>
  <c r="R156" i="1"/>
  <c r="M156" i="1"/>
  <c r="H156" i="1"/>
  <c r="DX155" i="1"/>
  <c r="DS155" i="1"/>
  <c r="DN155" i="1"/>
  <c r="DI155" i="1"/>
  <c r="DD155" i="1"/>
  <c r="CY155" i="1"/>
  <c r="CT155" i="1"/>
  <c r="CO155" i="1"/>
  <c r="CJ155" i="1"/>
  <c r="CE155" i="1"/>
  <c r="BZ155" i="1"/>
  <c r="BU155" i="1"/>
  <c r="BP155" i="1"/>
  <c r="BK155" i="1"/>
  <c r="BF155" i="1"/>
  <c r="BA155" i="1"/>
  <c r="AV155" i="1"/>
  <c r="AQ155" i="1"/>
  <c r="AL155" i="1"/>
  <c r="AG155" i="1"/>
  <c r="AB155" i="1"/>
  <c r="W155" i="1"/>
  <c r="R155" i="1"/>
  <c r="M155" i="1"/>
  <c r="H155" i="1"/>
  <c r="DX154" i="1"/>
  <c r="DS154" i="1"/>
  <c r="DN154" i="1"/>
  <c r="DI154" i="1"/>
  <c r="DD154" i="1"/>
  <c r="CY154" i="1"/>
  <c r="CT154" i="1"/>
  <c r="CO154" i="1"/>
  <c r="CJ154" i="1"/>
  <c r="CE154" i="1"/>
  <c r="BZ154" i="1"/>
  <c r="BU154" i="1"/>
  <c r="BP154" i="1"/>
  <c r="BK154" i="1"/>
  <c r="BF154" i="1"/>
  <c r="BA154" i="1"/>
  <c r="AV154" i="1"/>
  <c r="AQ154" i="1"/>
  <c r="AL154" i="1"/>
  <c r="AG154" i="1"/>
  <c r="AB154" i="1"/>
  <c r="W154" i="1"/>
  <c r="R154" i="1"/>
  <c r="M154" i="1"/>
  <c r="H154" i="1"/>
  <c r="B154" i="1"/>
  <c r="DX153" i="1"/>
  <c r="DS153" i="1"/>
  <c r="DN153" i="1"/>
  <c r="DI153" i="1"/>
  <c r="DD153" i="1"/>
  <c r="CY153" i="1"/>
  <c r="CT153" i="1"/>
  <c r="CO153" i="1"/>
  <c r="CJ153" i="1"/>
  <c r="CE153" i="1"/>
  <c r="BZ153" i="1"/>
  <c r="BU153" i="1"/>
  <c r="BP153" i="1"/>
  <c r="BK153" i="1"/>
  <c r="BF153" i="1"/>
  <c r="BA153" i="1"/>
  <c r="AV153" i="1"/>
  <c r="AQ153" i="1"/>
  <c r="AL153" i="1"/>
  <c r="AG153" i="1"/>
  <c r="AB153" i="1"/>
  <c r="W153" i="1"/>
  <c r="R153" i="1"/>
  <c r="M153" i="1"/>
  <c r="H153" i="1"/>
  <c r="DX152" i="1"/>
  <c r="DS152" i="1"/>
  <c r="DN152" i="1"/>
  <c r="DI152" i="1"/>
  <c r="DD152" i="1"/>
  <c r="CY152" i="1"/>
  <c r="CT152" i="1"/>
  <c r="CO152" i="1"/>
  <c r="CJ152" i="1"/>
  <c r="CE152" i="1"/>
  <c r="BZ152" i="1"/>
  <c r="BU152" i="1"/>
  <c r="BP152" i="1"/>
  <c r="BK152" i="1"/>
  <c r="BF152" i="1"/>
  <c r="BA152" i="1"/>
  <c r="AV152" i="1"/>
  <c r="AQ152" i="1"/>
  <c r="AL152" i="1"/>
  <c r="AG152" i="1"/>
  <c r="AB152" i="1"/>
  <c r="W152" i="1"/>
  <c r="R152" i="1"/>
  <c r="M152" i="1"/>
  <c r="H152" i="1"/>
  <c r="B152" i="1"/>
  <c r="B182" i="1" s="1"/>
  <c r="DX151" i="1"/>
  <c r="DS151" i="1"/>
  <c r="DN151" i="1"/>
  <c r="DI151" i="1"/>
  <c r="DD151" i="1"/>
  <c r="CY151" i="1"/>
  <c r="CT151" i="1"/>
  <c r="CO151" i="1"/>
  <c r="CJ151" i="1"/>
  <c r="CE151" i="1"/>
  <c r="BZ151" i="1"/>
  <c r="BU151" i="1"/>
  <c r="BP151" i="1"/>
  <c r="BK151" i="1"/>
  <c r="BF151" i="1"/>
  <c r="BA151" i="1"/>
  <c r="AV151" i="1"/>
  <c r="AQ151" i="1"/>
  <c r="AL151" i="1"/>
  <c r="AG151" i="1"/>
  <c r="AB151" i="1"/>
  <c r="W151" i="1"/>
  <c r="R151" i="1"/>
  <c r="M151" i="1"/>
  <c r="H151" i="1"/>
  <c r="B151" i="1"/>
  <c r="DX150" i="1"/>
  <c r="DS150" i="1"/>
  <c r="DN150" i="1"/>
  <c r="DI150" i="1"/>
  <c r="DD150" i="1"/>
  <c r="CY150" i="1"/>
  <c r="CT150" i="1"/>
  <c r="CO150" i="1"/>
  <c r="CJ150" i="1"/>
  <c r="CE150" i="1"/>
  <c r="BZ150" i="1"/>
  <c r="BU150" i="1"/>
  <c r="BP150" i="1"/>
  <c r="BK150" i="1"/>
  <c r="BF150" i="1"/>
  <c r="BA150" i="1"/>
  <c r="AV150" i="1"/>
  <c r="AQ150" i="1"/>
  <c r="AL150" i="1"/>
  <c r="AG150" i="1"/>
  <c r="AB150" i="1"/>
  <c r="W150" i="1"/>
  <c r="R150" i="1"/>
  <c r="M150" i="1"/>
  <c r="H150" i="1"/>
  <c r="B150" i="1"/>
  <c r="DX149" i="1"/>
  <c r="DS149" i="1"/>
  <c r="DN149" i="1"/>
  <c r="DI149" i="1"/>
  <c r="DD149" i="1"/>
  <c r="CY149" i="1"/>
  <c r="CT149" i="1"/>
  <c r="CO149" i="1"/>
  <c r="CJ149" i="1"/>
  <c r="CE149" i="1"/>
  <c r="BZ149" i="1"/>
  <c r="BU149" i="1"/>
  <c r="BP149" i="1"/>
  <c r="BK149" i="1"/>
  <c r="BF149" i="1"/>
  <c r="BA149" i="1"/>
  <c r="AV149" i="1"/>
  <c r="AQ149" i="1"/>
  <c r="AL149" i="1"/>
  <c r="AG149" i="1"/>
  <c r="AB149" i="1"/>
  <c r="W149" i="1"/>
  <c r="R149" i="1"/>
  <c r="M149" i="1"/>
  <c r="H149" i="1"/>
  <c r="B149" i="1"/>
  <c r="B179" i="1" s="1"/>
  <c r="DX148" i="1"/>
  <c r="DS148" i="1"/>
  <c r="DN148" i="1"/>
  <c r="DI148" i="1"/>
  <c r="DD148" i="1"/>
  <c r="CY148" i="1"/>
  <c r="CT148" i="1"/>
  <c r="CO148" i="1"/>
  <c r="CJ148" i="1"/>
  <c r="CE148" i="1"/>
  <c r="BZ148" i="1"/>
  <c r="BU148" i="1"/>
  <c r="BP148" i="1"/>
  <c r="BK148" i="1"/>
  <c r="BF148" i="1"/>
  <c r="BA148" i="1"/>
  <c r="AV148" i="1"/>
  <c r="AQ148" i="1"/>
  <c r="AL148" i="1"/>
  <c r="AG148" i="1"/>
  <c r="AB148" i="1"/>
  <c r="W148" i="1"/>
  <c r="R148" i="1"/>
  <c r="M148" i="1"/>
  <c r="H148" i="1"/>
  <c r="B148" i="1"/>
  <c r="B178" i="1" s="1"/>
  <c r="DX147" i="1"/>
  <c r="DS147" i="1"/>
  <c r="DN147" i="1"/>
  <c r="DI147" i="1"/>
  <c r="DD147" i="1"/>
  <c r="CY147" i="1"/>
  <c r="CT147" i="1"/>
  <c r="CO147" i="1"/>
  <c r="CJ147" i="1"/>
  <c r="CE147" i="1"/>
  <c r="BZ147" i="1"/>
  <c r="BU147" i="1"/>
  <c r="BP147" i="1"/>
  <c r="BK147" i="1"/>
  <c r="BF147" i="1"/>
  <c r="BA147" i="1"/>
  <c r="AV147" i="1"/>
  <c r="AQ147" i="1"/>
  <c r="AL147" i="1"/>
  <c r="AG147" i="1"/>
  <c r="AB147" i="1"/>
  <c r="W147" i="1"/>
  <c r="R147" i="1"/>
  <c r="M147" i="1"/>
  <c r="H147" i="1"/>
  <c r="B147" i="1"/>
  <c r="B177" i="1" s="1"/>
  <c r="DX146" i="1"/>
  <c r="DS146" i="1"/>
  <c r="DN146" i="1"/>
  <c r="DI146" i="1"/>
  <c r="DD146" i="1"/>
  <c r="CY146" i="1"/>
  <c r="CT146" i="1"/>
  <c r="CO146" i="1"/>
  <c r="CJ146" i="1"/>
  <c r="CE146" i="1"/>
  <c r="BZ146" i="1"/>
  <c r="BU146" i="1"/>
  <c r="BP146" i="1"/>
  <c r="BK146" i="1"/>
  <c r="BF146" i="1"/>
  <c r="BA146" i="1"/>
  <c r="AV146" i="1"/>
  <c r="AQ146" i="1"/>
  <c r="AL146" i="1"/>
  <c r="AG146" i="1"/>
  <c r="AB146" i="1"/>
  <c r="W146" i="1"/>
  <c r="R146" i="1"/>
  <c r="M146" i="1"/>
  <c r="H146" i="1"/>
  <c r="B146" i="1"/>
  <c r="DX145" i="1"/>
  <c r="DS145" i="1"/>
  <c r="DN145" i="1"/>
  <c r="DI145" i="1"/>
  <c r="DD145" i="1"/>
  <c r="CY145" i="1"/>
  <c r="CT145" i="1"/>
  <c r="CO145" i="1"/>
  <c r="CJ145" i="1"/>
  <c r="CE145" i="1"/>
  <c r="BZ145" i="1"/>
  <c r="BU145" i="1"/>
  <c r="BP145" i="1"/>
  <c r="BK145" i="1"/>
  <c r="BF145" i="1"/>
  <c r="BA145" i="1"/>
  <c r="AV145" i="1"/>
  <c r="AQ145" i="1"/>
  <c r="AL145" i="1"/>
  <c r="AG145" i="1"/>
  <c r="AB145" i="1"/>
  <c r="W145" i="1"/>
  <c r="R145" i="1"/>
  <c r="M145" i="1"/>
  <c r="H145" i="1"/>
  <c r="B145" i="1"/>
  <c r="B175" i="1" s="1"/>
  <c r="DX144" i="1"/>
  <c r="DS144" i="1"/>
  <c r="DN144" i="1"/>
  <c r="DI144" i="1"/>
  <c r="DD144" i="1"/>
  <c r="CY144" i="1"/>
  <c r="CT144" i="1"/>
  <c r="CO144" i="1"/>
  <c r="CJ144" i="1"/>
  <c r="CE144" i="1"/>
  <c r="BZ144" i="1"/>
  <c r="BU144" i="1"/>
  <c r="BP144" i="1"/>
  <c r="BK144" i="1"/>
  <c r="BF144" i="1"/>
  <c r="BA144" i="1"/>
  <c r="AV144" i="1"/>
  <c r="AQ144" i="1"/>
  <c r="AL144" i="1"/>
  <c r="AG144" i="1"/>
  <c r="AB144" i="1"/>
  <c r="W144" i="1"/>
  <c r="R144" i="1"/>
  <c r="M144" i="1"/>
  <c r="H144" i="1"/>
  <c r="B144" i="1"/>
  <c r="B174" i="1" s="1"/>
  <c r="DX143" i="1"/>
  <c r="DS143" i="1"/>
  <c r="DN143" i="1"/>
  <c r="DI143" i="1"/>
  <c r="DD143" i="1"/>
  <c r="CY143" i="1"/>
  <c r="CT143" i="1"/>
  <c r="CO143" i="1"/>
  <c r="CJ143" i="1"/>
  <c r="CE143" i="1"/>
  <c r="BZ143" i="1"/>
  <c r="BU143" i="1"/>
  <c r="BP143" i="1"/>
  <c r="BK143" i="1"/>
  <c r="BF143" i="1"/>
  <c r="BA143" i="1"/>
  <c r="AV143" i="1"/>
  <c r="AQ143" i="1"/>
  <c r="AL143" i="1"/>
  <c r="AG143" i="1"/>
  <c r="AB143" i="1"/>
  <c r="W143" i="1"/>
  <c r="R143" i="1"/>
  <c r="M143" i="1"/>
  <c r="H143" i="1"/>
  <c r="B143" i="1"/>
  <c r="B173" i="1" s="1"/>
  <c r="DX142" i="1"/>
  <c r="DS142" i="1"/>
  <c r="DN142" i="1"/>
  <c r="DI142" i="1"/>
  <c r="DD142" i="1"/>
  <c r="CY142" i="1"/>
  <c r="CT142" i="1"/>
  <c r="CO142" i="1"/>
  <c r="CJ142" i="1"/>
  <c r="CE142" i="1"/>
  <c r="BZ142" i="1"/>
  <c r="BU142" i="1"/>
  <c r="BP142" i="1"/>
  <c r="BK142" i="1"/>
  <c r="BF142" i="1"/>
  <c r="BA142" i="1"/>
  <c r="AV142" i="1"/>
  <c r="AQ142" i="1"/>
  <c r="AL142" i="1"/>
  <c r="AG142" i="1"/>
  <c r="AB142" i="1"/>
  <c r="W142" i="1"/>
  <c r="R142" i="1"/>
  <c r="M142" i="1"/>
  <c r="H142" i="1"/>
  <c r="B142" i="1"/>
  <c r="DX141" i="1"/>
  <c r="DS141" i="1"/>
  <c r="DN141" i="1"/>
  <c r="DI141" i="1"/>
  <c r="DD141" i="1"/>
  <c r="CY141" i="1"/>
  <c r="CT141" i="1"/>
  <c r="CO141" i="1"/>
  <c r="CJ141" i="1"/>
  <c r="CE141" i="1"/>
  <c r="BZ141" i="1"/>
  <c r="BU141" i="1"/>
  <c r="BP141" i="1"/>
  <c r="BK141" i="1"/>
  <c r="BF141" i="1"/>
  <c r="BA141" i="1"/>
  <c r="AV141" i="1"/>
  <c r="AQ141" i="1"/>
  <c r="AL141" i="1"/>
  <c r="AG141" i="1"/>
  <c r="AB141" i="1"/>
  <c r="W141" i="1"/>
  <c r="R141" i="1"/>
  <c r="M141" i="1"/>
  <c r="H141" i="1"/>
  <c r="B141" i="1"/>
  <c r="B171" i="1" s="1"/>
  <c r="DX140" i="1"/>
  <c r="DS140" i="1"/>
  <c r="DN140" i="1"/>
  <c r="DI140" i="1"/>
  <c r="DD140" i="1"/>
  <c r="CY140" i="1"/>
  <c r="CT140" i="1"/>
  <c r="CO140" i="1"/>
  <c r="CJ140" i="1"/>
  <c r="CE140" i="1"/>
  <c r="BZ140" i="1"/>
  <c r="BU140" i="1"/>
  <c r="BP140" i="1"/>
  <c r="BK140" i="1"/>
  <c r="BF140" i="1"/>
  <c r="BA140" i="1"/>
  <c r="AV140" i="1"/>
  <c r="AQ140" i="1"/>
  <c r="AL140" i="1"/>
  <c r="AG140" i="1"/>
  <c r="AB140" i="1"/>
  <c r="W140" i="1"/>
  <c r="R140" i="1"/>
  <c r="M140" i="1"/>
  <c r="H140" i="1"/>
  <c r="B140" i="1"/>
  <c r="B170" i="1" s="1"/>
  <c r="DX139" i="1"/>
  <c r="DS139" i="1"/>
  <c r="DN139" i="1"/>
  <c r="DI139" i="1"/>
  <c r="DD139" i="1"/>
  <c r="CY139" i="1"/>
  <c r="CT139" i="1"/>
  <c r="CO139" i="1"/>
  <c r="CJ139" i="1"/>
  <c r="CE139" i="1"/>
  <c r="BZ139" i="1"/>
  <c r="BU139" i="1"/>
  <c r="BP139" i="1"/>
  <c r="BK139" i="1"/>
  <c r="BF139" i="1"/>
  <c r="BA139" i="1"/>
  <c r="AV139" i="1"/>
  <c r="AQ139" i="1"/>
  <c r="AL139" i="1"/>
  <c r="AG139" i="1"/>
  <c r="AB139" i="1"/>
  <c r="W139" i="1"/>
  <c r="R139" i="1"/>
  <c r="M139" i="1"/>
  <c r="H139" i="1"/>
  <c r="B139" i="1"/>
  <c r="B169" i="1" s="1"/>
  <c r="DX138" i="1"/>
  <c r="DS138" i="1"/>
  <c r="DN138" i="1"/>
  <c r="DI138" i="1"/>
  <c r="DD138" i="1"/>
  <c r="CY138" i="1"/>
  <c r="CT138" i="1"/>
  <c r="CO138" i="1"/>
  <c r="CJ138" i="1"/>
  <c r="CE138" i="1"/>
  <c r="BZ138" i="1"/>
  <c r="BU138" i="1"/>
  <c r="BP138" i="1"/>
  <c r="BK138" i="1"/>
  <c r="BF138" i="1"/>
  <c r="BA138" i="1"/>
  <c r="AV138" i="1"/>
  <c r="AQ138" i="1"/>
  <c r="AL138" i="1"/>
  <c r="AG138" i="1"/>
  <c r="AB138" i="1"/>
  <c r="W138" i="1"/>
  <c r="R138" i="1"/>
  <c r="M138" i="1"/>
  <c r="H138" i="1"/>
  <c r="B138" i="1"/>
  <c r="B168" i="1" s="1"/>
  <c r="DX137" i="1"/>
  <c r="DS137" i="1"/>
  <c r="DN137" i="1"/>
  <c r="DI137" i="1"/>
  <c r="DD137" i="1"/>
  <c r="CY137" i="1"/>
  <c r="CT137" i="1"/>
  <c r="CO137" i="1"/>
  <c r="CJ137" i="1"/>
  <c r="CE137" i="1"/>
  <c r="BZ137" i="1"/>
  <c r="BU137" i="1"/>
  <c r="BP137" i="1"/>
  <c r="BK137" i="1"/>
  <c r="BF137" i="1"/>
  <c r="BA137" i="1"/>
  <c r="AV137" i="1"/>
  <c r="AV158" i="1" s="1"/>
  <c r="C139" i="1" s="1"/>
  <c r="AQ137" i="1"/>
  <c r="AL137" i="1"/>
  <c r="AG137" i="1"/>
  <c r="AB137" i="1"/>
  <c r="W137" i="1"/>
  <c r="R137" i="1"/>
  <c r="M137" i="1"/>
  <c r="H137" i="1"/>
  <c r="B137" i="1"/>
  <c r="B167" i="1" s="1"/>
  <c r="DX136" i="1"/>
  <c r="DS136" i="1"/>
  <c r="DN136" i="1"/>
  <c r="DI136" i="1"/>
  <c r="DD136" i="1"/>
  <c r="CY136" i="1"/>
  <c r="CT136" i="1"/>
  <c r="CO136" i="1"/>
  <c r="CJ136" i="1"/>
  <c r="CE136" i="1"/>
  <c r="BZ136" i="1"/>
  <c r="BU136" i="1"/>
  <c r="BP136" i="1"/>
  <c r="BK136" i="1"/>
  <c r="BF136" i="1"/>
  <c r="BA136" i="1"/>
  <c r="AV136" i="1"/>
  <c r="AQ136" i="1"/>
  <c r="AL136" i="1"/>
  <c r="AG136" i="1"/>
  <c r="AB136" i="1"/>
  <c r="W136" i="1"/>
  <c r="R136" i="1"/>
  <c r="M136" i="1"/>
  <c r="H136" i="1"/>
  <c r="B136" i="1"/>
  <c r="B166" i="1" s="1"/>
  <c r="DX135" i="1"/>
  <c r="DS135" i="1"/>
  <c r="DN135" i="1"/>
  <c r="DI135" i="1"/>
  <c r="DD135" i="1"/>
  <c r="CY135" i="1"/>
  <c r="CT135" i="1"/>
  <c r="CO135" i="1"/>
  <c r="CJ135" i="1"/>
  <c r="CE135" i="1"/>
  <c r="BZ135" i="1"/>
  <c r="BU135" i="1"/>
  <c r="BP135" i="1"/>
  <c r="BK135" i="1"/>
  <c r="BF135" i="1"/>
  <c r="BA135" i="1"/>
  <c r="AV135" i="1"/>
  <c r="AQ135" i="1"/>
  <c r="AL135" i="1"/>
  <c r="AG135" i="1"/>
  <c r="AB135" i="1"/>
  <c r="W135" i="1"/>
  <c r="R135" i="1"/>
  <c r="M135" i="1"/>
  <c r="H135" i="1"/>
  <c r="C135" i="1"/>
  <c r="B135" i="1"/>
  <c r="DX134" i="1"/>
  <c r="DS134" i="1"/>
  <c r="DN134" i="1"/>
  <c r="DI134" i="1"/>
  <c r="DD134" i="1"/>
  <c r="CY134" i="1"/>
  <c r="CT134" i="1"/>
  <c r="CO134" i="1"/>
  <c r="CJ134" i="1"/>
  <c r="CE134" i="1"/>
  <c r="BZ134" i="1"/>
  <c r="BU134" i="1"/>
  <c r="BP134" i="1"/>
  <c r="BK134" i="1"/>
  <c r="BF134" i="1"/>
  <c r="BA134" i="1"/>
  <c r="AV134" i="1"/>
  <c r="AQ134" i="1"/>
  <c r="AL134" i="1"/>
  <c r="AG134" i="1"/>
  <c r="AB134" i="1"/>
  <c r="W134" i="1"/>
  <c r="R134" i="1"/>
  <c r="M134" i="1"/>
  <c r="H134" i="1"/>
  <c r="B134" i="1"/>
  <c r="B164" i="1" s="1"/>
  <c r="DX133" i="1"/>
  <c r="DS133" i="1"/>
  <c r="DN133" i="1"/>
  <c r="DI133" i="1"/>
  <c r="DD133" i="1"/>
  <c r="CY133" i="1"/>
  <c r="CT133" i="1"/>
  <c r="CO133" i="1"/>
  <c r="CJ133" i="1"/>
  <c r="CE133" i="1"/>
  <c r="BZ133" i="1"/>
  <c r="BU133" i="1"/>
  <c r="BP133" i="1"/>
  <c r="BK133" i="1"/>
  <c r="BF133" i="1"/>
  <c r="BA133" i="1"/>
  <c r="AV133" i="1"/>
  <c r="AQ133" i="1"/>
  <c r="AL133" i="1"/>
  <c r="AG133" i="1"/>
  <c r="AG158" i="1" s="1"/>
  <c r="C136" i="1" s="1"/>
  <c r="AB133" i="1"/>
  <c r="W133" i="1"/>
  <c r="R133" i="1"/>
  <c r="M133" i="1"/>
  <c r="H133" i="1"/>
  <c r="B133" i="1"/>
  <c r="DX132" i="1"/>
  <c r="DS132" i="1"/>
  <c r="DN132" i="1"/>
  <c r="DI132" i="1"/>
  <c r="DD132" i="1"/>
  <c r="CY132" i="1"/>
  <c r="CT132" i="1"/>
  <c r="CO132" i="1"/>
  <c r="CO158" i="1" s="1"/>
  <c r="C148" i="1" s="1"/>
  <c r="CJ132" i="1"/>
  <c r="CJ158" i="1" s="1"/>
  <c r="C147" i="1" s="1"/>
  <c r="CE132" i="1"/>
  <c r="BZ132" i="1"/>
  <c r="BU132" i="1"/>
  <c r="BP132" i="1"/>
  <c r="BK132" i="1"/>
  <c r="BF132" i="1"/>
  <c r="BA132" i="1"/>
  <c r="AV132" i="1"/>
  <c r="AQ132" i="1"/>
  <c r="AL132" i="1"/>
  <c r="AG132" i="1"/>
  <c r="AB132" i="1"/>
  <c r="W132" i="1"/>
  <c r="R132" i="1"/>
  <c r="M132" i="1"/>
  <c r="M158" i="1" s="1"/>
  <c r="C132" i="1" s="1"/>
  <c r="H132" i="1"/>
  <c r="H158" i="1" s="1"/>
  <c r="C131" i="1" s="1"/>
  <c r="B132" i="1"/>
  <c r="DX131" i="1"/>
  <c r="DX158" i="1" s="1"/>
  <c r="C155" i="1" s="1"/>
  <c r="DS131" i="1"/>
  <c r="DS158" i="1" s="1"/>
  <c r="C154" i="1" s="1"/>
  <c r="DN131" i="1"/>
  <c r="DN158" i="1" s="1"/>
  <c r="C153" i="1" s="1"/>
  <c r="DI131" i="1"/>
  <c r="DI158" i="1" s="1"/>
  <c r="C152" i="1" s="1"/>
  <c r="DD131" i="1"/>
  <c r="DD158" i="1" s="1"/>
  <c r="C151" i="1" s="1"/>
  <c r="CY131" i="1"/>
  <c r="CY158" i="1" s="1"/>
  <c r="C150" i="1" s="1"/>
  <c r="C180" i="1" s="1"/>
  <c r="CT131" i="1"/>
  <c r="CT158" i="1" s="1"/>
  <c r="C149" i="1" s="1"/>
  <c r="C179" i="1" s="1"/>
  <c r="CO131" i="1"/>
  <c r="CJ131" i="1"/>
  <c r="CE131" i="1"/>
  <c r="CE158" i="1" s="1"/>
  <c r="C146" i="1" s="1"/>
  <c r="BZ131" i="1"/>
  <c r="BZ158" i="1" s="1"/>
  <c r="C145" i="1" s="1"/>
  <c r="BU131" i="1"/>
  <c r="BU158" i="1" s="1"/>
  <c r="C144" i="1" s="1"/>
  <c r="BP131" i="1"/>
  <c r="BP158" i="1" s="1"/>
  <c r="C143" i="1" s="1"/>
  <c r="BK131" i="1"/>
  <c r="BK158" i="1" s="1"/>
  <c r="C142" i="1" s="1"/>
  <c r="BF131" i="1"/>
  <c r="BA131" i="1"/>
  <c r="BA158" i="1" s="1"/>
  <c r="C140" i="1" s="1"/>
  <c r="AV131" i="1"/>
  <c r="AQ131" i="1"/>
  <c r="AQ158" i="1" s="1"/>
  <c r="C138" i="1" s="1"/>
  <c r="AL131" i="1"/>
  <c r="AL158" i="1" s="1"/>
  <c r="C137" i="1" s="1"/>
  <c r="AG131" i="1"/>
  <c r="AB131" i="1"/>
  <c r="AB158" i="1" s="1"/>
  <c r="W131" i="1"/>
  <c r="W158" i="1" s="1"/>
  <c r="C134" i="1" s="1"/>
  <c r="C164" i="1" s="1"/>
  <c r="R131" i="1"/>
  <c r="R158" i="1" s="1"/>
  <c r="C133" i="1" s="1"/>
  <c r="C163" i="1" s="1"/>
  <c r="M131" i="1"/>
  <c r="H131" i="1"/>
  <c r="B131" i="1"/>
  <c r="B161" i="1" s="1"/>
  <c r="DX127" i="1"/>
  <c r="DS127" i="1"/>
  <c r="DN127" i="1"/>
  <c r="DI127" i="1"/>
  <c r="DD127" i="1"/>
  <c r="CY127" i="1"/>
  <c r="CT127" i="1"/>
  <c r="CO127" i="1"/>
  <c r="CJ127" i="1"/>
  <c r="CE127" i="1"/>
  <c r="BZ127" i="1"/>
  <c r="BU127" i="1"/>
  <c r="BP127" i="1"/>
  <c r="BK127" i="1"/>
  <c r="BF127" i="1"/>
  <c r="BA127" i="1"/>
  <c r="AV127" i="1"/>
  <c r="AQ127" i="1"/>
  <c r="AL127" i="1"/>
  <c r="AG127" i="1"/>
  <c r="AB127" i="1"/>
  <c r="W127" i="1"/>
  <c r="R127" i="1"/>
  <c r="M127" i="1"/>
  <c r="H127" i="1"/>
  <c r="DX126" i="1"/>
  <c r="DS126" i="1"/>
  <c r="DN126" i="1"/>
  <c r="DI126" i="1"/>
  <c r="DD126" i="1"/>
  <c r="CY126" i="1"/>
  <c r="CT126" i="1"/>
  <c r="CO126" i="1"/>
  <c r="CJ126" i="1"/>
  <c r="CE126" i="1"/>
  <c r="BZ126" i="1"/>
  <c r="BU126" i="1"/>
  <c r="BP126" i="1"/>
  <c r="BK126" i="1"/>
  <c r="BF126" i="1"/>
  <c r="BA126" i="1"/>
  <c r="AV126" i="1"/>
  <c r="AQ126" i="1"/>
  <c r="AL126" i="1"/>
  <c r="AG126" i="1"/>
  <c r="AB126" i="1"/>
  <c r="W126" i="1"/>
  <c r="R126" i="1"/>
  <c r="M126" i="1"/>
  <c r="H126" i="1"/>
  <c r="DX125" i="1"/>
  <c r="DS125" i="1"/>
  <c r="DN125" i="1"/>
  <c r="DI125" i="1"/>
  <c r="DD125" i="1"/>
  <c r="CY125" i="1"/>
  <c r="CT125" i="1"/>
  <c r="CO125" i="1"/>
  <c r="CJ125" i="1"/>
  <c r="CE125" i="1"/>
  <c r="BZ125" i="1"/>
  <c r="BU125" i="1"/>
  <c r="BP125" i="1"/>
  <c r="BK125" i="1"/>
  <c r="BF125" i="1"/>
  <c r="BA125" i="1"/>
  <c r="AV125" i="1"/>
  <c r="AQ125" i="1"/>
  <c r="AL125" i="1"/>
  <c r="AG125" i="1"/>
  <c r="AB125" i="1"/>
  <c r="W125" i="1"/>
  <c r="R125" i="1"/>
  <c r="M125" i="1"/>
  <c r="H125" i="1"/>
  <c r="DX124" i="1"/>
  <c r="DS124" i="1"/>
  <c r="DN124" i="1"/>
  <c r="DI124" i="1"/>
  <c r="DD124" i="1"/>
  <c r="CY124" i="1"/>
  <c r="CT124" i="1"/>
  <c r="CO124" i="1"/>
  <c r="CJ124" i="1"/>
  <c r="CE124" i="1"/>
  <c r="BZ124" i="1"/>
  <c r="BU124" i="1"/>
  <c r="BP124" i="1"/>
  <c r="BK124" i="1"/>
  <c r="BF124" i="1"/>
  <c r="BA124" i="1"/>
  <c r="AV124" i="1"/>
  <c r="AQ124" i="1"/>
  <c r="AL124" i="1"/>
  <c r="AG124" i="1"/>
  <c r="AB124" i="1"/>
  <c r="W124" i="1"/>
  <c r="R124" i="1"/>
  <c r="M124" i="1"/>
  <c r="H124" i="1"/>
  <c r="B124" i="1"/>
  <c r="DX123" i="1"/>
  <c r="DS123" i="1"/>
  <c r="DN123" i="1"/>
  <c r="DI123" i="1"/>
  <c r="DD123" i="1"/>
  <c r="CY123" i="1"/>
  <c r="CT123" i="1"/>
  <c r="CO123" i="1"/>
  <c r="CJ123" i="1"/>
  <c r="CE123" i="1"/>
  <c r="BZ123" i="1"/>
  <c r="BU123" i="1"/>
  <c r="BP123" i="1"/>
  <c r="BK123" i="1"/>
  <c r="BF123" i="1"/>
  <c r="BA123" i="1"/>
  <c r="AV123" i="1"/>
  <c r="AQ123" i="1"/>
  <c r="AL123" i="1"/>
  <c r="AG123" i="1"/>
  <c r="AB123" i="1"/>
  <c r="W123" i="1"/>
  <c r="R123" i="1"/>
  <c r="M123" i="1"/>
  <c r="H123" i="1"/>
  <c r="B123" i="1"/>
  <c r="DX122" i="1"/>
  <c r="DS122" i="1"/>
  <c r="DN122" i="1"/>
  <c r="DI122" i="1"/>
  <c r="DD122" i="1"/>
  <c r="CY122" i="1"/>
  <c r="CT122" i="1"/>
  <c r="CO122" i="1"/>
  <c r="CJ122" i="1"/>
  <c r="CE122" i="1"/>
  <c r="BZ122" i="1"/>
  <c r="BU122" i="1"/>
  <c r="BP122" i="1"/>
  <c r="BK122" i="1"/>
  <c r="BF122" i="1"/>
  <c r="BA122" i="1"/>
  <c r="AV122" i="1"/>
  <c r="AQ122" i="1"/>
  <c r="AL122" i="1"/>
  <c r="AG122" i="1"/>
  <c r="AB122" i="1"/>
  <c r="W122" i="1"/>
  <c r="R122" i="1"/>
  <c r="M122" i="1"/>
  <c r="H122" i="1"/>
  <c r="B122" i="1"/>
  <c r="DX121" i="1"/>
  <c r="DS121" i="1"/>
  <c r="DN121" i="1"/>
  <c r="DI121" i="1"/>
  <c r="DD121" i="1"/>
  <c r="CY121" i="1"/>
  <c r="CT121" i="1"/>
  <c r="CO121" i="1"/>
  <c r="CJ121" i="1"/>
  <c r="CE121" i="1"/>
  <c r="BZ121" i="1"/>
  <c r="BU121" i="1"/>
  <c r="BP121" i="1"/>
  <c r="BK121" i="1"/>
  <c r="BF121" i="1"/>
  <c r="BA121" i="1"/>
  <c r="AV121" i="1"/>
  <c r="AQ121" i="1"/>
  <c r="AL121" i="1"/>
  <c r="AG121" i="1"/>
  <c r="AB121" i="1"/>
  <c r="W121" i="1"/>
  <c r="R121" i="1"/>
  <c r="M121" i="1"/>
  <c r="H121" i="1"/>
  <c r="B121" i="1"/>
  <c r="DX120" i="1"/>
  <c r="DS120" i="1"/>
  <c r="DN120" i="1"/>
  <c r="DI120" i="1"/>
  <c r="DD120" i="1"/>
  <c r="CY120" i="1"/>
  <c r="CT120" i="1"/>
  <c r="CO120" i="1"/>
  <c r="CJ120" i="1"/>
  <c r="CE120" i="1"/>
  <c r="BZ120" i="1"/>
  <c r="BU120" i="1"/>
  <c r="BP120" i="1"/>
  <c r="BK120" i="1"/>
  <c r="BF120" i="1"/>
  <c r="BA120" i="1"/>
  <c r="AV120" i="1"/>
  <c r="AQ120" i="1"/>
  <c r="AL120" i="1"/>
  <c r="AG120" i="1"/>
  <c r="AB120" i="1"/>
  <c r="W120" i="1"/>
  <c r="R120" i="1"/>
  <c r="M120" i="1"/>
  <c r="H120" i="1"/>
  <c r="B120" i="1"/>
  <c r="DX119" i="1"/>
  <c r="DS119" i="1"/>
  <c r="DN119" i="1"/>
  <c r="DI119" i="1"/>
  <c r="DD119" i="1"/>
  <c r="CY119" i="1"/>
  <c r="CT119" i="1"/>
  <c r="CO119" i="1"/>
  <c r="CJ119" i="1"/>
  <c r="CE119" i="1"/>
  <c r="BZ119" i="1"/>
  <c r="BU119" i="1"/>
  <c r="BP119" i="1"/>
  <c r="BK119" i="1"/>
  <c r="BF119" i="1"/>
  <c r="BA119" i="1"/>
  <c r="AV119" i="1"/>
  <c r="AQ119" i="1"/>
  <c r="AL119" i="1"/>
  <c r="AG119" i="1"/>
  <c r="AB119" i="1"/>
  <c r="W119" i="1"/>
  <c r="R119" i="1"/>
  <c r="M119" i="1"/>
  <c r="H119" i="1"/>
  <c r="B119" i="1"/>
  <c r="DX118" i="1"/>
  <c r="DS118" i="1"/>
  <c r="DN118" i="1"/>
  <c r="DI118" i="1"/>
  <c r="DD118" i="1"/>
  <c r="CY118" i="1"/>
  <c r="CT118" i="1"/>
  <c r="CO118" i="1"/>
  <c r="CJ118" i="1"/>
  <c r="CE118" i="1"/>
  <c r="BZ118" i="1"/>
  <c r="BU118" i="1"/>
  <c r="BP118" i="1"/>
  <c r="BK118" i="1"/>
  <c r="BF118" i="1"/>
  <c r="BA118" i="1"/>
  <c r="AV118" i="1"/>
  <c r="AQ118" i="1"/>
  <c r="AL118" i="1"/>
  <c r="AG118" i="1"/>
  <c r="AB118" i="1"/>
  <c r="W118" i="1"/>
  <c r="R118" i="1"/>
  <c r="M118" i="1"/>
  <c r="H118" i="1"/>
  <c r="B118" i="1"/>
  <c r="DX117" i="1"/>
  <c r="DS117" i="1"/>
  <c r="DN117" i="1"/>
  <c r="DI117" i="1"/>
  <c r="DD117" i="1"/>
  <c r="CY117" i="1"/>
  <c r="CT117" i="1"/>
  <c r="CO117" i="1"/>
  <c r="CJ117" i="1"/>
  <c r="CE117" i="1"/>
  <c r="BZ117" i="1"/>
  <c r="BU117" i="1"/>
  <c r="BP117" i="1"/>
  <c r="BK117" i="1"/>
  <c r="BF117" i="1"/>
  <c r="BA117" i="1"/>
  <c r="AV117" i="1"/>
  <c r="AQ117" i="1"/>
  <c r="AL117" i="1"/>
  <c r="AG117" i="1"/>
  <c r="AB117" i="1"/>
  <c r="W117" i="1"/>
  <c r="R117" i="1"/>
  <c r="M117" i="1"/>
  <c r="H117" i="1"/>
  <c r="B117" i="1"/>
  <c r="DX116" i="1"/>
  <c r="DS116" i="1"/>
  <c r="DN116" i="1"/>
  <c r="DI116" i="1"/>
  <c r="DD116" i="1"/>
  <c r="CY116" i="1"/>
  <c r="CT116" i="1"/>
  <c r="CO116" i="1"/>
  <c r="CJ116" i="1"/>
  <c r="CE116" i="1"/>
  <c r="BZ116" i="1"/>
  <c r="BU116" i="1"/>
  <c r="BP116" i="1"/>
  <c r="BK116" i="1"/>
  <c r="BF116" i="1"/>
  <c r="BA116" i="1"/>
  <c r="AV116" i="1"/>
  <c r="AQ116" i="1"/>
  <c r="AL116" i="1"/>
  <c r="AG116" i="1"/>
  <c r="AB116" i="1"/>
  <c r="W116" i="1"/>
  <c r="R116" i="1"/>
  <c r="M116" i="1"/>
  <c r="H116" i="1"/>
  <c r="B116" i="1"/>
  <c r="DX115" i="1"/>
  <c r="DS115" i="1"/>
  <c r="DN115" i="1"/>
  <c r="DI115" i="1"/>
  <c r="DD115" i="1"/>
  <c r="CY115" i="1"/>
  <c r="CT115" i="1"/>
  <c r="CO115" i="1"/>
  <c r="CJ115" i="1"/>
  <c r="CE115" i="1"/>
  <c r="BZ115" i="1"/>
  <c r="BU115" i="1"/>
  <c r="BP115" i="1"/>
  <c r="BK115" i="1"/>
  <c r="BF115" i="1"/>
  <c r="BA115" i="1"/>
  <c r="AV115" i="1"/>
  <c r="AQ115" i="1"/>
  <c r="AL115" i="1"/>
  <c r="AG115" i="1"/>
  <c r="AB115" i="1"/>
  <c r="W115" i="1"/>
  <c r="R115" i="1"/>
  <c r="M115" i="1"/>
  <c r="H115" i="1"/>
  <c r="B115" i="1"/>
  <c r="DX114" i="1"/>
  <c r="DS114" i="1"/>
  <c r="DN114" i="1"/>
  <c r="DI114" i="1"/>
  <c r="DD114" i="1"/>
  <c r="CY114" i="1"/>
  <c r="CT114" i="1"/>
  <c r="CO114" i="1"/>
  <c r="CJ114" i="1"/>
  <c r="CE114" i="1"/>
  <c r="BZ114" i="1"/>
  <c r="BU114" i="1"/>
  <c r="BP114" i="1"/>
  <c r="BK114" i="1"/>
  <c r="BF114" i="1"/>
  <c r="BA114" i="1"/>
  <c r="AV114" i="1"/>
  <c r="AQ114" i="1"/>
  <c r="AL114" i="1"/>
  <c r="AG114" i="1"/>
  <c r="AB114" i="1"/>
  <c r="W114" i="1"/>
  <c r="R114" i="1"/>
  <c r="M114" i="1"/>
  <c r="H114" i="1"/>
  <c r="B114" i="1"/>
  <c r="DX113" i="1"/>
  <c r="DS113" i="1"/>
  <c r="DN113" i="1"/>
  <c r="DI113" i="1"/>
  <c r="DD113" i="1"/>
  <c r="CY113" i="1"/>
  <c r="CT113" i="1"/>
  <c r="CO113" i="1"/>
  <c r="CJ113" i="1"/>
  <c r="CE113" i="1"/>
  <c r="BZ113" i="1"/>
  <c r="BU113" i="1"/>
  <c r="BP113" i="1"/>
  <c r="BK113" i="1"/>
  <c r="BF113" i="1"/>
  <c r="BA113" i="1"/>
  <c r="AV113" i="1"/>
  <c r="AQ113" i="1"/>
  <c r="AL113" i="1"/>
  <c r="AG113" i="1"/>
  <c r="AB113" i="1"/>
  <c r="W113" i="1"/>
  <c r="R113" i="1"/>
  <c r="M113" i="1"/>
  <c r="H113" i="1"/>
  <c r="B113" i="1"/>
  <c r="DX112" i="1"/>
  <c r="DS112" i="1"/>
  <c r="DN112" i="1"/>
  <c r="DI112" i="1"/>
  <c r="DD112" i="1"/>
  <c r="CY112" i="1"/>
  <c r="CT112" i="1"/>
  <c r="CO112" i="1"/>
  <c r="CJ112" i="1"/>
  <c r="CE112" i="1"/>
  <c r="BZ112" i="1"/>
  <c r="BU112" i="1"/>
  <c r="BP112" i="1"/>
  <c r="BK112" i="1"/>
  <c r="BF112" i="1"/>
  <c r="BA112" i="1"/>
  <c r="AV112" i="1"/>
  <c r="AQ112" i="1"/>
  <c r="AL112" i="1"/>
  <c r="AG112" i="1"/>
  <c r="AB112" i="1"/>
  <c r="W112" i="1"/>
  <c r="R112" i="1"/>
  <c r="M112" i="1"/>
  <c r="H112" i="1"/>
  <c r="B112" i="1"/>
  <c r="DX111" i="1"/>
  <c r="DS111" i="1"/>
  <c r="DN111" i="1"/>
  <c r="DI111" i="1"/>
  <c r="DD111" i="1"/>
  <c r="CY111" i="1"/>
  <c r="CT111" i="1"/>
  <c r="CO111" i="1"/>
  <c r="CJ111" i="1"/>
  <c r="CE111" i="1"/>
  <c r="BZ111" i="1"/>
  <c r="BU111" i="1"/>
  <c r="BP111" i="1"/>
  <c r="BK111" i="1"/>
  <c r="BF111" i="1"/>
  <c r="BA111" i="1"/>
  <c r="AV111" i="1"/>
  <c r="AQ111" i="1"/>
  <c r="AL111" i="1"/>
  <c r="AG111" i="1"/>
  <c r="AB111" i="1"/>
  <c r="W111" i="1"/>
  <c r="R111" i="1"/>
  <c r="M111" i="1"/>
  <c r="H111" i="1"/>
  <c r="B111" i="1"/>
  <c r="DX110" i="1"/>
  <c r="DS110" i="1"/>
  <c r="DN110" i="1"/>
  <c r="DI110" i="1"/>
  <c r="DD110" i="1"/>
  <c r="CY110" i="1"/>
  <c r="CT110" i="1"/>
  <c r="CO110" i="1"/>
  <c r="CJ110" i="1"/>
  <c r="CE110" i="1"/>
  <c r="BZ110" i="1"/>
  <c r="BU110" i="1"/>
  <c r="BP110" i="1"/>
  <c r="BK110" i="1"/>
  <c r="BF110" i="1"/>
  <c r="BA110" i="1"/>
  <c r="AV110" i="1"/>
  <c r="AQ110" i="1"/>
  <c r="AL110" i="1"/>
  <c r="AG110" i="1"/>
  <c r="AB110" i="1"/>
  <c r="W110" i="1"/>
  <c r="R110" i="1"/>
  <c r="M110" i="1"/>
  <c r="H110" i="1"/>
  <c r="B110" i="1"/>
  <c r="DX109" i="1"/>
  <c r="DS109" i="1"/>
  <c r="DN109" i="1"/>
  <c r="DI109" i="1"/>
  <c r="DD109" i="1"/>
  <c r="CY109" i="1"/>
  <c r="CT109" i="1"/>
  <c r="CO109" i="1"/>
  <c r="CJ109" i="1"/>
  <c r="CE109" i="1"/>
  <c r="BZ109" i="1"/>
  <c r="BU109" i="1"/>
  <c r="BP109" i="1"/>
  <c r="BK109" i="1"/>
  <c r="BF109" i="1"/>
  <c r="BA109" i="1"/>
  <c r="AV109" i="1"/>
  <c r="AQ109" i="1"/>
  <c r="AL109" i="1"/>
  <c r="AG109" i="1"/>
  <c r="AB109" i="1"/>
  <c r="W109" i="1"/>
  <c r="R109" i="1"/>
  <c r="M109" i="1"/>
  <c r="H109" i="1"/>
  <c r="B109" i="1"/>
  <c r="DX108" i="1"/>
  <c r="DS108" i="1"/>
  <c r="DN108" i="1"/>
  <c r="DD108" i="1"/>
  <c r="CY108" i="1"/>
  <c r="CT108" i="1"/>
  <c r="CO108" i="1"/>
  <c r="CJ108" i="1"/>
  <c r="CE108" i="1"/>
  <c r="BZ108" i="1"/>
  <c r="BU108" i="1"/>
  <c r="BP108" i="1"/>
  <c r="BK108" i="1"/>
  <c r="BF108" i="1"/>
  <c r="BA108" i="1"/>
  <c r="AV108" i="1"/>
  <c r="AQ108" i="1"/>
  <c r="AL108" i="1"/>
  <c r="AG108" i="1"/>
  <c r="AB108" i="1"/>
  <c r="W108" i="1"/>
  <c r="R108" i="1"/>
  <c r="M108" i="1"/>
  <c r="H108" i="1"/>
  <c r="B108" i="1"/>
  <c r="DX107" i="1"/>
  <c r="DS107" i="1"/>
  <c r="DN107" i="1"/>
  <c r="DI107" i="1"/>
  <c r="DI128" i="1" s="1"/>
  <c r="C122" i="1" s="1"/>
  <c r="DD107" i="1"/>
  <c r="CY107" i="1"/>
  <c r="CT107" i="1"/>
  <c r="CO107" i="1"/>
  <c r="CJ107" i="1"/>
  <c r="CE107" i="1"/>
  <c r="BZ107" i="1"/>
  <c r="BU107" i="1"/>
  <c r="BP107" i="1"/>
  <c r="BK107" i="1"/>
  <c r="BF107" i="1"/>
  <c r="BA107" i="1"/>
  <c r="AV107" i="1"/>
  <c r="AQ107" i="1"/>
  <c r="AL107" i="1"/>
  <c r="AG107" i="1"/>
  <c r="AG128" i="1" s="1"/>
  <c r="C106" i="1" s="1"/>
  <c r="AB107" i="1"/>
  <c r="W107" i="1"/>
  <c r="R107" i="1"/>
  <c r="M107" i="1"/>
  <c r="H107" i="1"/>
  <c r="B107" i="1"/>
  <c r="DX106" i="1"/>
  <c r="DS106" i="1"/>
  <c r="DN106" i="1"/>
  <c r="DI106" i="1"/>
  <c r="DD106" i="1"/>
  <c r="CY106" i="1"/>
  <c r="CT106" i="1"/>
  <c r="CO106" i="1"/>
  <c r="CJ106" i="1"/>
  <c r="CE106" i="1"/>
  <c r="BZ106" i="1"/>
  <c r="BU106" i="1"/>
  <c r="BP106" i="1"/>
  <c r="BK106" i="1"/>
  <c r="BF106" i="1"/>
  <c r="BA106" i="1"/>
  <c r="AV106" i="1"/>
  <c r="AQ106" i="1"/>
  <c r="AL106" i="1"/>
  <c r="AG106" i="1"/>
  <c r="AB106" i="1"/>
  <c r="W106" i="1"/>
  <c r="R106" i="1"/>
  <c r="M106" i="1"/>
  <c r="H106" i="1"/>
  <c r="B106" i="1"/>
  <c r="DX105" i="1"/>
  <c r="DS105" i="1"/>
  <c r="DN105" i="1"/>
  <c r="DI105" i="1"/>
  <c r="DD105" i="1"/>
  <c r="CY105" i="1"/>
  <c r="CT105" i="1"/>
  <c r="CO105" i="1"/>
  <c r="CJ105" i="1"/>
  <c r="CE105" i="1"/>
  <c r="BZ105" i="1"/>
  <c r="BU105" i="1"/>
  <c r="BP105" i="1"/>
  <c r="BK105" i="1"/>
  <c r="BF105" i="1"/>
  <c r="BA105" i="1"/>
  <c r="AV105" i="1"/>
  <c r="AQ105" i="1"/>
  <c r="AL105" i="1"/>
  <c r="AG105" i="1"/>
  <c r="AB105" i="1"/>
  <c r="W105" i="1"/>
  <c r="R105" i="1"/>
  <c r="M105" i="1"/>
  <c r="H105" i="1"/>
  <c r="B105" i="1"/>
  <c r="DX104" i="1"/>
  <c r="DS104" i="1"/>
  <c r="DN104" i="1"/>
  <c r="DN128" i="1" s="1"/>
  <c r="C123" i="1" s="1"/>
  <c r="DI104" i="1"/>
  <c r="DD104" i="1"/>
  <c r="CY104" i="1"/>
  <c r="CT104" i="1"/>
  <c r="CO104" i="1"/>
  <c r="CJ104" i="1"/>
  <c r="CE104" i="1"/>
  <c r="BZ104" i="1"/>
  <c r="BU104" i="1"/>
  <c r="BP104" i="1"/>
  <c r="BK104" i="1"/>
  <c r="BF104" i="1"/>
  <c r="BA104" i="1"/>
  <c r="AV104" i="1"/>
  <c r="AQ104" i="1"/>
  <c r="AL104" i="1"/>
  <c r="AL128" i="1" s="1"/>
  <c r="C107" i="1" s="1"/>
  <c r="AG104" i="1"/>
  <c r="AB104" i="1"/>
  <c r="W104" i="1"/>
  <c r="R104" i="1"/>
  <c r="M104" i="1"/>
  <c r="H104" i="1"/>
  <c r="B104" i="1"/>
  <c r="DX103" i="1"/>
  <c r="DS103" i="1"/>
  <c r="DN103" i="1"/>
  <c r="DI103" i="1"/>
  <c r="DD103" i="1"/>
  <c r="CY103" i="1"/>
  <c r="CT103" i="1"/>
  <c r="CT128" i="1" s="1"/>
  <c r="C119" i="1" s="1"/>
  <c r="CO103" i="1"/>
  <c r="CJ103" i="1"/>
  <c r="CE103" i="1"/>
  <c r="BZ103" i="1"/>
  <c r="BU103" i="1"/>
  <c r="BP103" i="1"/>
  <c r="BK103" i="1"/>
  <c r="BF103" i="1"/>
  <c r="BA103" i="1"/>
  <c r="AV103" i="1"/>
  <c r="AQ103" i="1"/>
  <c r="AL103" i="1"/>
  <c r="AG103" i="1"/>
  <c r="AB103" i="1"/>
  <c r="W103" i="1"/>
  <c r="R103" i="1"/>
  <c r="R128" i="1" s="1"/>
  <c r="C103" i="1" s="1"/>
  <c r="M103" i="1"/>
  <c r="H103" i="1"/>
  <c r="B103" i="1"/>
  <c r="DX102" i="1"/>
  <c r="DS102" i="1"/>
  <c r="DN102" i="1"/>
  <c r="DI102" i="1"/>
  <c r="DD102" i="1"/>
  <c r="CY102" i="1"/>
  <c r="CT102" i="1"/>
  <c r="CO102" i="1"/>
  <c r="CJ102" i="1"/>
  <c r="CE102" i="1"/>
  <c r="BZ102" i="1"/>
  <c r="BZ128" i="1" s="1"/>
  <c r="C115" i="1" s="1"/>
  <c r="BU102" i="1"/>
  <c r="BU128" i="1" s="1"/>
  <c r="C114" i="1" s="1"/>
  <c r="BP102" i="1"/>
  <c r="BK102" i="1"/>
  <c r="BF102" i="1"/>
  <c r="BA102" i="1"/>
  <c r="AV102" i="1"/>
  <c r="AQ102" i="1"/>
  <c r="AL102" i="1"/>
  <c r="AG102" i="1"/>
  <c r="AB102" i="1"/>
  <c r="W102" i="1"/>
  <c r="R102" i="1"/>
  <c r="M102" i="1"/>
  <c r="H102" i="1"/>
  <c r="B102" i="1"/>
  <c r="DX101" i="1"/>
  <c r="DX128" i="1" s="1"/>
  <c r="C125" i="1" s="1"/>
  <c r="DS101" i="1"/>
  <c r="DS128" i="1" s="1"/>
  <c r="C124" i="1" s="1"/>
  <c r="DN101" i="1"/>
  <c r="DI101" i="1"/>
  <c r="DD101" i="1"/>
  <c r="DD128" i="1" s="1"/>
  <c r="C121" i="1" s="1"/>
  <c r="CY101" i="1"/>
  <c r="CY128" i="1" s="1"/>
  <c r="C120" i="1" s="1"/>
  <c r="CT101" i="1"/>
  <c r="CO101" i="1"/>
  <c r="CO128" i="1" s="1"/>
  <c r="C118" i="1" s="1"/>
  <c r="CJ101" i="1"/>
  <c r="CJ128" i="1" s="1"/>
  <c r="C117" i="1" s="1"/>
  <c r="CE101" i="1"/>
  <c r="CE128" i="1" s="1"/>
  <c r="C116" i="1" s="1"/>
  <c r="BZ101" i="1"/>
  <c r="BU101" i="1"/>
  <c r="BP101" i="1"/>
  <c r="BP128" i="1" s="1"/>
  <c r="C113" i="1" s="1"/>
  <c r="BK101" i="1"/>
  <c r="BK128" i="1" s="1"/>
  <c r="C112" i="1" s="1"/>
  <c r="BF101" i="1"/>
  <c r="BF128" i="1" s="1"/>
  <c r="C111" i="1" s="1"/>
  <c r="BA101" i="1"/>
  <c r="BA128" i="1" s="1"/>
  <c r="C110" i="1" s="1"/>
  <c r="AV101" i="1"/>
  <c r="AV128" i="1" s="1"/>
  <c r="C109" i="1" s="1"/>
  <c r="AQ101" i="1"/>
  <c r="AQ128" i="1" s="1"/>
  <c r="C108" i="1" s="1"/>
  <c r="AL101" i="1"/>
  <c r="AG101" i="1"/>
  <c r="AB101" i="1"/>
  <c r="AB128" i="1" s="1"/>
  <c r="C105" i="1" s="1"/>
  <c r="W101" i="1"/>
  <c r="W128" i="1" s="1"/>
  <c r="C104" i="1" s="1"/>
  <c r="R101" i="1"/>
  <c r="M101" i="1"/>
  <c r="M128" i="1" s="1"/>
  <c r="C102" i="1" s="1"/>
  <c r="H101" i="1"/>
  <c r="H128" i="1" s="1"/>
  <c r="C101" i="1" s="1"/>
  <c r="B101" i="1"/>
  <c r="DX96" i="1"/>
  <c r="DS96" i="1"/>
  <c r="DN96" i="1"/>
  <c r="DI96" i="1"/>
  <c r="DD96" i="1"/>
  <c r="CY96" i="1"/>
  <c r="CT96" i="1"/>
  <c r="CO96" i="1"/>
  <c r="CJ96" i="1"/>
  <c r="CE96" i="1"/>
  <c r="BZ96" i="1"/>
  <c r="BU96" i="1"/>
  <c r="BP96" i="1"/>
  <c r="BK96" i="1"/>
  <c r="BF96" i="1"/>
  <c r="BA96" i="1"/>
  <c r="AV96" i="1"/>
  <c r="AQ96" i="1"/>
  <c r="AL96" i="1"/>
  <c r="AG96" i="1"/>
  <c r="AB96" i="1"/>
  <c r="W96" i="1"/>
  <c r="R96" i="1"/>
  <c r="M96" i="1"/>
  <c r="H96" i="1"/>
  <c r="DX95" i="1"/>
  <c r="DS95" i="1"/>
  <c r="DN95" i="1"/>
  <c r="DI95" i="1"/>
  <c r="DD95" i="1"/>
  <c r="CY95" i="1"/>
  <c r="CT95" i="1"/>
  <c r="CO95" i="1"/>
  <c r="CJ95" i="1"/>
  <c r="CE95" i="1"/>
  <c r="BZ95" i="1"/>
  <c r="BU95" i="1"/>
  <c r="BP95" i="1"/>
  <c r="BK95" i="1"/>
  <c r="BF95" i="1"/>
  <c r="BA95" i="1"/>
  <c r="AV95" i="1"/>
  <c r="AQ95" i="1"/>
  <c r="AL95" i="1"/>
  <c r="AG95" i="1"/>
  <c r="AB95" i="1"/>
  <c r="W95" i="1"/>
  <c r="R95" i="1"/>
  <c r="M95" i="1"/>
  <c r="H95" i="1"/>
  <c r="DX94" i="1"/>
  <c r="DS94" i="1"/>
  <c r="DN94" i="1"/>
  <c r="DI94" i="1"/>
  <c r="DD94" i="1"/>
  <c r="CY94" i="1"/>
  <c r="CT94" i="1"/>
  <c r="CO94" i="1"/>
  <c r="CJ94" i="1"/>
  <c r="CE94" i="1"/>
  <c r="BZ94" i="1"/>
  <c r="BU94" i="1"/>
  <c r="BP94" i="1"/>
  <c r="BK94" i="1"/>
  <c r="BF94" i="1"/>
  <c r="BA94" i="1"/>
  <c r="AV94" i="1"/>
  <c r="AQ94" i="1"/>
  <c r="AL94" i="1"/>
  <c r="AG94" i="1"/>
  <c r="AB94" i="1"/>
  <c r="W94" i="1"/>
  <c r="R94" i="1"/>
  <c r="M94" i="1"/>
  <c r="H94" i="1"/>
  <c r="DX93" i="1"/>
  <c r="DS93" i="1"/>
  <c r="DN93" i="1"/>
  <c r="DI93" i="1"/>
  <c r="DD93" i="1"/>
  <c r="CY93" i="1"/>
  <c r="CT93" i="1"/>
  <c r="CO93" i="1"/>
  <c r="CJ93" i="1"/>
  <c r="CE93" i="1"/>
  <c r="BZ93" i="1"/>
  <c r="BU93" i="1"/>
  <c r="BP93" i="1"/>
  <c r="BK93" i="1"/>
  <c r="BF93" i="1"/>
  <c r="BA93" i="1"/>
  <c r="AV93" i="1"/>
  <c r="AQ93" i="1"/>
  <c r="AL93" i="1"/>
  <c r="AG93" i="1"/>
  <c r="AB93" i="1"/>
  <c r="W93" i="1"/>
  <c r="R93" i="1"/>
  <c r="M93" i="1"/>
  <c r="H93" i="1"/>
  <c r="B93" i="1"/>
  <c r="DX92" i="1"/>
  <c r="DS92" i="1"/>
  <c r="DN92" i="1"/>
  <c r="DI92" i="1"/>
  <c r="DD92" i="1"/>
  <c r="CY92" i="1"/>
  <c r="CT92" i="1"/>
  <c r="CO92" i="1"/>
  <c r="CJ92" i="1"/>
  <c r="CE92" i="1"/>
  <c r="BZ92" i="1"/>
  <c r="BU92" i="1"/>
  <c r="BP92" i="1"/>
  <c r="BK92" i="1"/>
  <c r="BF92" i="1"/>
  <c r="BA92" i="1"/>
  <c r="AV92" i="1"/>
  <c r="AQ92" i="1"/>
  <c r="AL92" i="1"/>
  <c r="AG92" i="1"/>
  <c r="AB92" i="1"/>
  <c r="W92" i="1"/>
  <c r="R92" i="1"/>
  <c r="M92" i="1"/>
  <c r="H92" i="1"/>
  <c r="B92" i="1"/>
  <c r="DX91" i="1"/>
  <c r="DS91" i="1"/>
  <c r="DN91" i="1"/>
  <c r="DI91" i="1"/>
  <c r="DD91" i="1"/>
  <c r="CY91" i="1"/>
  <c r="CT91" i="1"/>
  <c r="CO91" i="1"/>
  <c r="CJ91" i="1"/>
  <c r="CE91" i="1"/>
  <c r="BZ91" i="1"/>
  <c r="BU91" i="1"/>
  <c r="BP91" i="1"/>
  <c r="BK91" i="1"/>
  <c r="BF91" i="1"/>
  <c r="BA91" i="1"/>
  <c r="AV91" i="1"/>
  <c r="AQ91" i="1"/>
  <c r="AL91" i="1"/>
  <c r="AG91" i="1"/>
  <c r="AB91" i="1"/>
  <c r="W91" i="1"/>
  <c r="R91" i="1"/>
  <c r="M91" i="1"/>
  <c r="H91" i="1"/>
  <c r="B91" i="1"/>
  <c r="DX90" i="1"/>
  <c r="DS90" i="1"/>
  <c r="DN90" i="1"/>
  <c r="DI90" i="1"/>
  <c r="DD90" i="1"/>
  <c r="CY90" i="1"/>
  <c r="CT90" i="1"/>
  <c r="CO90" i="1"/>
  <c r="CJ90" i="1"/>
  <c r="CE90" i="1"/>
  <c r="BZ90" i="1"/>
  <c r="BU90" i="1"/>
  <c r="BP90" i="1"/>
  <c r="BK90" i="1"/>
  <c r="BF90" i="1"/>
  <c r="BA90" i="1"/>
  <c r="AV90" i="1"/>
  <c r="AQ90" i="1"/>
  <c r="AL90" i="1"/>
  <c r="AG90" i="1"/>
  <c r="AB90" i="1"/>
  <c r="W90" i="1"/>
  <c r="R90" i="1"/>
  <c r="M90" i="1"/>
  <c r="H90" i="1"/>
  <c r="B90" i="1"/>
  <c r="DX89" i="1"/>
  <c r="DS89" i="1"/>
  <c r="DN89" i="1"/>
  <c r="DI89" i="1"/>
  <c r="DD89" i="1"/>
  <c r="CY89" i="1"/>
  <c r="CT89" i="1"/>
  <c r="CO89" i="1"/>
  <c r="CJ89" i="1"/>
  <c r="CE89" i="1"/>
  <c r="BZ89" i="1"/>
  <c r="BU89" i="1"/>
  <c r="BP89" i="1"/>
  <c r="BK89" i="1"/>
  <c r="BF89" i="1"/>
  <c r="BA89" i="1"/>
  <c r="AV89" i="1"/>
  <c r="AQ89" i="1"/>
  <c r="AL89" i="1"/>
  <c r="AG89" i="1"/>
  <c r="AB89" i="1"/>
  <c r="W89" i="1"/>
  <c r="R89" i="1"/>
  <c r="M89" i="1"/>
  <c r="H89" i="1"/>
  <c r="B89" i="1"/>
  <c r="DX88" i="1"/>
  <c r="DS88" i="1"/>
  <c r="DN88" i="1"/>
  <c r="DI88" i="1"/>
  <c r="DD88" i="1"/>
  <c r="CY88" i="1"/>
  <c r="CT88" i="1"/>
  <c r="CO88" i="1"/>
  <c r="CJ88" i="1"/>
  <c r="CE88" i="1"/>
  <c r="BZ88" i="1"/>
  <c r="BU88" i="1"/>
  <c r="BP88" i="1"/>
  <c r="BK88" i="1"/>
  <c r="BF88" i="1"/>
  <c r="BA88" i="1"/>
  <c r="AV88" i="1"/>
  <c r="AQ88" i="1"/>
  <c r="AL88" i="1"/>
  <c r="AG88" i="1"/>
  <c r="AB88" i="1"/>
  <c r="W88" i="1"/>
  <c r="R88" i="1"/>
  <c r="M88" i="1"/>
  <c r="H88" i="1"/>
  <c r="B88" i="1"/>
  <c r="DX87" i="1"/>
  <c r="DS87" i="1"/>
  <c r="DN87" i="1"/>
  <c r="DI87" i="1"/>
  <c r="DD87" i="1"/>
  <c r="CY87" i="1"/>
  <c r="CT87" i="1"/>
  <c r="CO87" i="1"/>
  <c r="CJ87" i="1"/>
  <c r="CE87" i="1"/>
  <c r="BZ87" i="1"/>
  <c r="BU87" i="1"/>
  <c r="BP87" i="1"/>
  <c r="BK87" i="1"/>
  <c r="BF87" i="1"/>
  <c r="BA87" i="1"/>
  <c r="AV87" i="1"/>
  <c r="AQ87" i="1"/>
  <c r="AL87" i="1"/>
  <c r="AG87" i="1"/>
  <c r="AB87" i="1"/>
  <c r="W87" i="1"/>
  <c r="R87" i="1"/>
  <c r="M87" i="1"/>
  <c r="H87" i="1"/>
  <c r="B87" i="1"/>
  <c r="DX86" i="1"/>
  <c r="DS86" i="1"/>
  <c r="DN86" i="1"/>
  <c r="DI86" i="1"/>
  <c r="DD86" i="1"/>
  <c r="CY86" i="1"/>
  <c r="CT86" i="1"/>
  <c r="CO86" i="1"/>
  <c r="CJ86" i="1"/>
  <c r="CE86" i="1"/>
  <c r="BZ86" i="1"/>
  <c r="BU86" i="1"/>
  <c r="BP86" i="1"/>
  <c r="BK86" i="1"/>
  <c r="BF86" i="1"/>
  <c r="BA86" i="1"/>
  <c r="AV86" i="1"/>
  <c r="AQ86" i="1"/>
  <c r="AL86" i="1"/>
  <c r="AG86" i="1"/>
  <c r="AB86" i="1"/>
  <c r="W86" i="1"/>
  <c r="R86" i="1"/>
  <c r="M86" i="1"/>
  <c r="H86" i="1"/>
  <c r="B86" i="1"/>
  <c r="DX85" i="1"/>
  <c r="DS85" i="1"/>
  <c r="DN85" i="1"/>
  <c r="DI85" i="1"/>
  <c r="DD85" i="1"/>
  <c r="CY85" i="1"/>
  <c r="CT85" i="1"/>
  <c r="CO85" i="1"/>
  <c r="CJ85" i="1"/>
  <c r="CE85" i="1"/>
  <c r="BZ85" i="1"/>
  <c r="BU85" i="1"/>
  <c r="BP85" i="1"/>
  <c r="BK85" i="1"/>
  <c r="BF85" i="1"/>
  <c r="BA85" i="1"/>
  <c r="AV85" i="1"/>
  <c r="AQ85" i="1"/>
  <c r="AL85" i="1"/>
  <c r="AG85" i="1"/>
  <c r="AB85" i="1"/>
  <c r="W85" i="1"/>
  <c r="R85" i="1"/>
  <c r="M85" i="1"/>
  <c r="H85" i="1"/>
  <c r="B85" i="1"/>
  <c r="DX84" i="1"/>
  <c r="DS84" i="1"/>
  <c r="DN84" i="1"/>
  <c r="DI84" i="1"/>
  <c r="DD84" i="1"/>
  <c r="CY84" i="1"/>
  <c r="CT84" i="1"/>
  <c r="CO84" i="1"/>
  <c r="CJ84" i="1"/>
  <c r="CE84" i="1"/>
  <c r="BZ84" i="1"/>
  <c r="BU84" i="1"/>
  <c r="BP84" i="1"/>
  <c r="BK84" i="1"/>
  <c r="BF84" i="1"/>
  <c r="BA84" i="1"/>
  <c r="AV84" i="1"/>
  <c r="AQ84" i="1"/>
  <c r="AL84" i="1"/>
  <c r="AG84" i="1"/>
  <c r="AB84" i="1"/>
  <c r="W84" i="1"/>
  <c r="R84" i="1"/>
  <c r="M84" i="1"/>
  <c r="H84" i="1"/>
  <c r="B84" i="1"/>
  <c r="DX83" i="1"/>
  <c r="DS83" i="1"/>
  <c r="DN83" i="1"/>
  <c r="DI83" i="1"/>
  <c r="DD83" i="1"/>
  <c r="CY83" i="1"/>
  <c r="CT83" i="1"/>
  <c r="CO83" i="1"/>
  <c r="CJ83" i="1"/>
  <c r="CE83" i="1"/>
  <c r="BZ83" i="1"/>
  <c r="BU83" i="1"/>
  <c r="BP83" i="1"/>
  <c r="BK83" i="1"/>
  <c r="BF83" i="1"/>
  <c r="BA83" i="1"/>
  <c r="AV83" i="1"/>
  <c r="AQ83" i="1"/>
  <c r="AL83" i="1"/>
  <c r="AG83" i="1"/>
  <c r="AB83" i="1"/>
  <c r="W83" i="1"/>
  <c r="R83" i="1"/>
  <c r="M83" i="1"/>
  <c r="H83" i="1"/>
  <c r="B83" i="1"/>
  <c r="DX82" i="1"/>
  <c r="DS82" i="1"/>
  <c r="DN82" i="1"/>
  <c r="DI82" i="1"/>
  <c r="DD82" i="1"/>
  <c r="CY82" i="1"/>
  <c r="CT82" i="1"/>
  <c r="CO82" i="1"/>
  <c r="CJ82" i="1"/>
  <c r="CE82" i="1"/>
  <c r="BZ82" i="1"/>
  <c r="BU82" i="1"/>
  <c r="BP82" i="1"/>
  <c r="BK82" i="1"/>
  <c r="BF82" i="1"/>
  <c r="BA82" i="1"/>
  <c r="AV82" i="1"/>
  <c r="AQ82" i="1"/>
  <c r="AL82" i="1"/>
  <c r="AG82" i="1"/>
  <c r="AB82" i="1"/>
  <c r="W82" i="1"/>
  <c r="R82" i="1"/>
  <c r="M82" i="1"/>
  <c r="H82" i="1"/>
  <c r="B82" i="1"/>
  <c r="DX81" i="1"/>
  <c r="DS81" i="1"/>
  <c r="DN81" i="1"/>
  <c r="DI81" i="1"/>
  <c r="DD81" i="1"/>
  <c r="CY81" i="1"/>
  <c r="CT81" i="1"/>
  <c r="CO81" i="1"/>
  <c r="CJ81" i="1"/>
  <c r="CE81" i="1"/>
  <c r="BZ81" i="1"/>
  <c r="BU81" i="1"/>
  <c r="BP81" i="1"/>
  <c r="BK81" i="1"/>
  <c r="BF81" i="1"/>
  <c r="BA81" i="1"/>
  <c r="AV81" i="1"/>
  <c r="AQ81" i="1"/>
  <c r="AL81" i="1"/>
  <c r="AG81" i="1"/>
  <c r="AB81" i="1"/>
  <c r="W81" i="1"/>
  <c r="R81" i="1"/>
  <c r="M81" i="1"/>
  <c r="H81" i="1"/>
  <c r="B81" i="1"/>
  <c r="DX80" i="1"/>
  <c r="DS80" i="1"/>
  <c r="DN80" i="1"/>
  <c r="DI80" i="1"/>
  <c r="DD80" i="1"/>
  <c r="CY80" i="1"/>
  <c r="CT80" i="1"/>
  <c r="CO80" i="1"/>
  <c r="CJ80" i="1"/>
  <c r="CE80" i="1"/>
  <c r="BZ80" i="1"/>
  <c r="BU80" i="1"/>
  <c r="BP80" i="1"/>
  <c r="BK80" i="1"/>
  <c r="BF80" i="1"/>
  <c r="BA80" i="1"/>
  <c r="AV80" i="1"/>
  <c r="AQ80" i="1"/>
  <c r="AL80" i="1"/>
  <c r="AG80" i="1"/>
  <c r="AB80" i="1"/>
  <c r="W80" i="1"/>
  <c r="R80" i="1"/>
  <c r="M80" i="1"/>
  <c r="H80" i="1"/>
  <c r="B80" i="1"/>
  <c r="DX79" i="1"/>
  <c r="DS79" i="1"/>
  <c r="DN79" i="1"/>
  <c r="DI79" i="1"/>
  <c r="DD79" i="1"/>
  <c r="CY79" i="1"/>
  <c r="CT79" i="1"/>
  <c r="CT97" i="1" s="1"/>
  <c r="C88" i="1" s="1"/>
  <c r="CO79" i="1"/>
  <c r="CJ79" i="1"/>
  <c r="CE79" i="1"/>
  <c r="BZ79" i="1"/>
  <c r="BU79" i="1"/>
  <c r="BP79" i="1"/>
  <c r="BK79" i="1"/>
  <c r="BF79" i="1"/>
  <c r="BA79" i="1"/>
  <c r="AV79" i="1"/>
  <c r="AQ79" i="1"/>
  <c r="AL79" i="1"/>
  <c r="AG79" i="1"/>
  <c r="AB79" i="1"/>
  <c r="W79" i="1"/>
  <c r="R79" i="1"/>
  <c r="R97" i="1" s="1"/>
  <c r="C72" i="1" s="1"/>
  <c r="M79" i="1"/>
  <c r="H79" i="1"/>
  <c r="B79" i="1"/>
  <c r="DX78" i="1"/>
  <c r="DS78" i="1"/>
  <c r="DN78" i="1"/>
  <c r="DI78" i="1"/>
  <c r="DD78" i="1"/>
  <c r="CY78" i="1"/>
  <c r="CT78" i="1"/>
  <c r="CO78" i="1"/>
  <c r="CJ78" i="1"/>
  <c r="CE78" i="1"/>
  <c r="BZ78" i="1"/>
  <c r="BU78" i="1"/>
  <c r="BP78" i="1"/>
  <c r="BK78" i="1"/>
  <c r="BF78" i="1"/>
  <c r="BA78" i="1"/>
  <c r="AV78" i="1"/>
  <c r="AQ78" i="1"/>
  <c r="AL78" i="1"/>
  <c r="AG78" i="1"/>
  <c r="AB78" i="1"/>
  <c r="W78" i="1"/>
  <c r="R78" i="1"/>
  <c r="M78" i="1"/>
  <c r="H78" i="1"/>
  <c r="B78" i="1"/>
  <c r="DX77" i="1"/>
  <c r="DS77" i="1"/>
  <c r="DN77" i="1"/>
  <c r="DI77" i="1"/>
  <c r="DD77" i="1"/>
  <c r="CY77" i="1"/>
  <c r="CT77" i="1"/>
  <c r="CO77" i="1"/>
  <c r="CJ77" i="1"/>
  <c r="CE77" i="1"/>
  <c r="BZ77" i="1"/>
  <c r="BU77" i="1"/>
  <c r="BP77" i="1"/>
  <c r="BK77" i="1"/>
  <c r="BF77" i="1"/>
  <c r="BA77" i="1"/>
  <c r="AV77" i="1"/>
  <c r="AQ77" i="1"/>
  <c r="AL77" i="1"/>
  <c r="AG77" i="1"/>
  <c r="AB77" i="1"/>
  <c r="W77" i="1"/>
  <c r="R77" i="1"/>
  <c r="M77" i="1"/>
  <c r="H77" i="1"/>
  <c r="B77" i="1"/>
  <c r="DX76" i="1"/>
  <c r="DS76" i="1"/>
  <c r="DN76" i="1"/>
  <c r="DI76" i="1"/>
  <c r="DD76" i="1"/>
  <c r="CY76" i="1"/>
  <c r="CY97" i="1" s="1"/>
  <c r="C89" i="1" s="1"/>
  <c r="CT76" i="1"/>
  <c r="CO76" i="1"/>
  <c r="CJ76" i="1"/>
  <c r="CE76" i="1"/>
  <c r="BZ76" i="1"/>
  <c r="BU76" i="1"/>
  <c r="BP76" i="1"/>
  <c r="BK76" i="1"/>
  <c r="BF76" i="1"/>
  <c r="BA76" i="1"/>
  <c r="AV76" i="1"/>
  <c r="AQ76" i="1"/>
  <c r="AL76" i="1"/>
  <c r="AG76" i="1"/>
  <c r="AB76" i="1"/>
  <c r="W76" i="1"/>
  <c r="W97" i="1" s="1"/>
  <c r="C73" i="1" s="1"/>
  <c r="R76" i="1"/>
  <c r="M76" i="1"/>
  <c r="H76" i="1"/>
  <c r="B76" i="1"/>
  <c r="DX75" i="1"/>
  <c r="DS75" i="1"/>
  <c r="DN75" i="1"/>
  <c r="DI75" i="1"/>
  <c r="DD75" i="1"/>
  <c r="CY75" i="1"/>
  <c r="CT75" i="1"/>
  <c r="CO75" i="1"/>
  <c r="CJ75" i="1"/>
  <c r="CE75" i="1"/>
  <c r="BZ75" i="1"/>
  <c r="BU75" i="1"/>
  <c r="BP75" i="1"/>
  <c r="BK75" i="1"/>
  <c r="BF75" i="1"/>
  <c r="BA75" i="1"/>
  <c r="AV75" i="1"/>
  <c r="AQ75" i="1"/>
  <c r="AL75" i="1"/>
  <c r="AG75" i="1"/>
  <c r="AB75" i="1"/>
  <c r="W75" i="1"/>
  <c r="R75" i="1"/>
  <c r="M75" i="1"/>
  <c r="H75" i="1"/>
  <c r="B75" i="1"/>
  <c r="DX74" i="1"/>
  <c r="DS74" i="1"/>
  <c r="DN74" i="1"/>
  <c r="DI74" i="1"/>
  <c r="DD74" i="1"/>
  <c r="CY74" i="1"/>
  <c r="CT74" i="1"/>
  <c r="CO74" i="1"/>
  <c r="CJ74" i="1"/>
  <c r="CE74" i="1"/>
  <c r="BZ74" i="1"/>
  <c r="BU74" i="1"/>
  <c r="BP74" i="1"/>
  <c r="BK74" i="1"/>
  <c r="BF74" i="1"/>
  <c r="BA74" i="1"/>
  <c r="AV74" i="1"/>
  <c r="AQ74" i="1"/>
  <c r="AL74" i="1"/>
  <c r="AG74" i="1"/>
  <c r="AB74" i="1"/>
  <c r="W74" i="1"/>
  <c r="R74" i="1"/>
  <c r="M74" i="1"/>
  <c r="H74" i="1"/>
  <c r="B74" i="1"/>
  <c r="DX73" i="1"/>
  <c r="DS73" i="1"/>
  <c r="DN73" i="1"/>
  <c r="DI73" i="1"/>
  <c r="DD73" i="1"/>
  <c r="DD97" i="1" s="1"/>
  <c r="C90" i="1" s="1"/>
  <c r="CY73" i="1"/>
  <c r="CT73" i="1"/>
  <c r="CO73" i="1"/>
  <c r="CJ73" i="1"/>
  <c r="CE73" i="1"/>
  <c r="BZ73" i="1"/>
  <c r="BU73" i="1"/>
  <c r="BP73" i="1"/>
  <c r="BK73" i="1"/>
  <c r="BF73" i="1"/>
  <c r="BA73" i="1"/>
  <c r="AV73" i="1"/>
  <c r="AQ73" i="1"/>
  <c r="AL73" i="1"/>
  <c r="AG73" i="1"/>
  <c r="AB73" i="1"/>
  <c r="AB97" i="1" s="1"/>
  <c r="C74" i="1" s="1"/>
  <c r="W73" i="1"/>
  <c r="R73" i="1"/>
  <c r="M73" i="1"/>
  <c r="H73" i="1"/>
  <c r="B73" i="1"/>
  <c r="DX72" i="1"/>
  <c r="DS72" i="1"/>
  <c r="DN72" i="1"/>
  <c r="DI72" i="1"/>
  <c r="DD72" i="1"/>
  <c r="CY72" i="1"/>
  <c r="CT72" i="1"/>
  <c r="CO72" i="1"/>
  <c r="CJ72" i="1"/>
  <c r="CE72" i="1"/>
  <c r="BZ72" i="1"/>
  <c r="BU72" i="1"/>
  <c r="BP72" i="1"/>
  <c r="BK72" i="1"/>
  <c r="BF72" i="1"/>
  <c r="BA72" i="1"/>
  <c r="AV72" i="1"/>
  <c r="AQ72" i="1"/>
  <c r="AL72" i="1"/>
  <c r="AG72" i="1"/>
  <c r="AB72" i="1"/>
  <c r="W72" i="1"/>
  <c r="R72" i="1"/>
  <c r="M72" i="1"/>
  <c r="H72" i="1"/>
  <c r="B72" i="1"/>
  <c r="DX71" i="1"/>
  <c r="DS71" i="1"/>
  <c r="DN71" i="1"/>
  <c r="DI71" i="1"/>
  <c r="DD71" i="1"/>
  <c r="CY71" i="1"/>
  <c r="CT71" i="1"/>
  <c r="CO71" i="1"/>
  <c r="CJ71" i="1"/>
  <c r="CE71" i="1"/>
  <c r="CE97" i="1" s="1"/>
  <c r="C85" i="1" s="1"/>
  <c r="BZ71" i="1"/>
  <c r="BZ97" i="1" s="1"/>
  <c r="C84" i="1" s="1"/>
  <c r="BU71" i="1"/>
  <c r="BP71" i="1"/>
  <c r="BP97" i="1" s="1"/>
  <c r="C82" i="1" s="1"/>
  <c r="BK71" i="1"/>
  <c r="BK97" i="1" s="1"/>
  <c r="C81" i="1" s="1"/>
  <c r="BF71" i="1"/>
  <c r="BF97" i="1" s="1"/>
  <c r="C80" i="1" s="1"/>
  <c r="BA71" i="1"/>
  <c r="AV71" i="1"/>
  <c r="AQ71" i="1"/>
  <c r="AL71" i="1"/>
  <c r="AG71" i="1"/>
  <c r="AB71" i="1"/>
  <c r="W71" i="1"/>
  <c r="R71" i="1"/>
  <c r="M71" i="1"/>
  <c r="H71" i="1"/>
  <c r="B71" i="1"/>
  <c r="DX70" i="1"/>
  <c r="DX97" i="1" s="1"/>
  <c r="C94" i="1" s="1"/>
  <c r="DS70" i="1"/>
  <c r="DS97" i="1" s="1"/>
  <c r="C93" i="1" s="1"/>
  <c r="DN70" i="1"/>
  <c r="DN97" i="1" s="1"/>
  <c r="C92" i="1" s="1"/>
  <c r="DI70" i="1"/>
  <c r="DI97" i="1" s="1"/>
  <c r="C91" i="1" s="1"/>
  <c r="DD70" i="1"/>
  <c r="CY70" i="1"/>
  <c r="CT70" i="1"/>
  <c r="CO70" i="1"/>
  <c r="CO97" i="1" s="1"/>
  <c r="C87" i="1" s="1"/>
  <c r="CJ70" i="1"/>
  <c r="CJ97" i="1" s="1"/>
  <c r="C86" i="1" s="1"/>
  <c r="CE70" i="1"/>
  <c r="BZ70" i="1"/>
  <c r="BU70" i="1"/>
  <c r="BU97" i="1" s="1"/>
  <c r="C83" i="1" s="1"/>
  <c r="BP70" i="1"/>
  <c r="BK70" i="1"/>
  <c r="BF70" i="1"/>
  <c r="BA70" i="1"/>
  <c r="BA97" i="1" s="1"/>
  <c r="C79" i="1" s="1"/>
  <c r="AV70" i="1"/>
  <c r="AV97" i="1" s="1"/>
  <c r="C78" i="1" s="1"/>
  <c r="AQ70" i="1"/>
  <c r="AQ97" i="1" s="1"/>
  <c r="C77" i="1" s="1"/>
  <c r="AL70" i="1"/>
  <c r="AL97" i="1" s="1"/>
  <c r="C76" i="1" s="1"/>
  <c r="AG70" i="1"/>
  <c r="AG97" i="1" s="1"/>
  <c r="C75" i="1" s="1"/>
  <c r="AB70" i="1"/>
  <c r="W70" i="1"/>
  <c r="R70" i="1"/>
  <c r="M70" i="1"/>
  <c r="M97" i="1" s="1"/>
  <c r="C71" i="1" s="1"/>
  <c r="H70" i="1"/>
  <c r="H97" i="1" s="1"/>
  <c r="C70" i="1" s="1"/>
  <c r="B70" i="1"/>
  <c r="DX66" i="1"/>
  <c r="DS66" i="1"/>
  <c r="DN66" i="1"/>
  <c r="DI66" i="1"/>
  <c r="DD66" i="1"/>
  <c r="CY66" i="1"/>
  <c r="CT66" i="1"/>
  <c r="CO66" i="1"/>
  <c r="CJ66" i="1"/>
  <c r="CE66" i="1"/>
  <c r="BZ66" i="1"/>
  <c r="BU66" i="1"/>
  <c r="BP66" i="1"/>
  <c r="BK66" i="1"/>
  <c r="BF66" i="1"/>
  <c r="BA66" i="1"/>
  <c r="AV66" i="1"/>
  <c r="AQ66" i="1"/>
  <c r="AL66" i="1"/>
  <c r="AG66" i="1"/>
  <c r="AB66" i="1"/>
  <c r="W66" i="1"/>
  <c r="R66" i="1"/>
  <c r="M66" i="1"/>
  <c r="H66" i="1"/>
  <c r="DS65" i="1"/>
  <c r="DN65" i="1"/>
  <c r="DI65" i="1"/>
  <c r="DD65" i="1"/>
  <c r="CY65" i="1"/>
  <c r="CT65" i="1"/>
  <c r="CO65" i="1"/>
  <c r="CJ65" i="1"/>
  <c r="CE65" i="1"/>
  <c r="BZ65" i="1"/>
  <c r="BU65" i="1"/>
  <c r="BP65" i="1"/>
  <c r="BK65" i="1"/>
  <c r="BF65" i="1"/>
  <c r="BA65" i="1"/>
  <c r="AV65" i="1"/>
  <c r="AQ65" i="1"/>
  <c r="AL65" i="1"/>
  <c r="AG65" i="1"/>
  <c r="AB65" i="1"/>
  <c r="W65" i="1"/>
  <c r="R65" i="1"/>
  <c r="M65" i="1"/>
  <c r="H65" i="1"/>
  <c r="DX64" i="1"/>
  <c r="DS64" i="1"/>
  <c r="DN64" i="1"/>
  <c r="DI64" i="1"/>
  <c r="DD64" i="1"/>
  <c r="CY64" i="1"/>
  <c r="CT64" i="1"/>
  <c r="CO64" i="1"/>
  <c r="CJ64" i="1"/>
  <c r="CE64" i="1"/>
  <c r="BZ64" i="1"/>
  <c r="BU64" i="1"/>
  <c r="BP64" i="1"/>
  <c r="BK64" i="1"/>
  <c r="BF64" i="1"/>
  <c r="BA64" i="1"/>
  <c r="AV64" i="1"/>
  <c r="AQ64" i="1"/>
  <c r="AL64" i="1"/>
  <c r="AG64" i="1"/>
  <c r="AB64" i="1"/>
  <c r="W64" i="1"/>
  <c r="R64" i="1"/>
  <c r="M64" i="1"/>
  <c r="H64" i="1"/>
  <c r="DX63" i="1"/>
  <c r="DS63" i="1"/>
  <c r="DN63" i="1"/>
  <c r="DI63" i="1"/>
  <c r="DD63" i="1"/>
  <c r="CY63" i="1"/>
  <c r="CT63" i="1"/>
  <c r="CO63" i="1"/>
  <c r="CJ63" i="1"/>
  <c r="CE63" i="1"/>
  <c r="BZ63" i="1"/>
  <c r="BU63" i="1"/>
  <c r="BP63" i="1"/>
  <c r="BK63" i="1"/>
  <c r="BF63" i="1"/>
  <c r="BA63" i="1"/>
  <c r="AV63" i="1"/>
  <c r="AQ63" i="1"/>
  <c r="AL63" i="1"/>
  <c r="AG63" i="1"/>
  <c r="AB63" i="1"/>
  <c r="W63" i="1"/>
  <c r="R63" i="1"/>
  <c r="M63" i="1"/>
  <c r="H63" i="1"/>
  <c r="B63" i="1"/>
  <c r="DX62" i="1"/>
  <c r="DS62" i="1"/>
  <c r="DN62" i="1"/>
  <c r="DI62" i="1"/>
  <c r="DD62" i="1"/>
  <c r="CY62" i="1"/>
  <c r="CT62" i="1"/>
  <c r="CO62" i="1"/>
  <c r="CJ62" i="1"/>
  <c r="CE62" i="1"/>
  <c r="BZ62" i="1"/>
  <c r="BU62" i="1"/>
  <c r="BP62" i="1"/>
  <c r="BK62" i="1"/>
  <c r="BF62" i="1"/>
  <c r="BA62" i="1"/>
  <c r="AV62" i="1"/>
  <c r="AQ62" i="1"/>
  <c r="AL62" i="1"/>
  <c r="AG62" i="1"/>
  <c r="AB62" i="1"/>
  <c r="W62" i="1"/>
  <c r="R62" i="1"/>
  <c r="M62" i="1"/>
  <c r="H62" i="1"/>
  <c r="B62" i="1"/>
  <c r="DX61" i="1"/>
  <c r="DS61" i="1"/>
  <c r="DN61" i="1"/>
  <c r="DI61" i="1"/>
  <c r="DD61" i="1"/>
  <c r="CY61" i="1"/>
  <c r="CT61" i="1"/>
  <c r="CO61" i="1"/>
  <c r="CJ61" i="1"/>
  <c r="CE61" i="1"/>
  <c r="BZ61" i="1"/>
  <c r="BU61" i="1"/>
  <c r="BP61" i="1"/>
  <c r="BK61" i="1"/>
  <c r="BF61" i="1"/>
  <c r="BA61" i="1"/>
  <c r="AV61" i="1"/>
  <c r="AQ61" i="1"/>
  <c r="AL61" i="1"/>
  <c r="AG61" i="1"/>
  <c r="AB61" i="1"/>
  <c r="W61" i="1"/>
  <c r="R61" i="1"/>
  <c r="M61" i="1"/>
  <c r="H61" i="1"/>
  <c r="B61" i="1"/>
  <c r="DX60" i="1"/>
  <c r="DS60" i="1"/>
  <c r="DN60" i="1"/>
  <c r="DI60" i="1"/>
  <c r="DD60" i="1"/>
  <c r="CY60" i="1"/>
  <c r="CT60" i="1"/>
  <c r="CO60" i="1"/>
  <c r="CJ60" i="1"/>
  <c r="CE60" i="1"/>
  <c r="BZ60" i="1"/>
  <c r="BU60" i="1"/>
  <c r="BP60" i="1"/>
  <c r="BK60" i="1"/>
  <c r="BF60" i="1"/>
  <c r="BA60" i="1"/>
  <c r="AV60" i="1"/>
  <c r="AQ60" i="1"/>
  <c r="AL60" i="1"/>
  <c r="AG60" i="1"/>
  <c r="AB60" i="1"/>
  <c r="W60" i="1"/>
  <c r="R60" i="1"/>
  <c r="M60" i="1"/>
  <c r="H60" i="1"/>
  <c r="B60" i="1"/>
  <c r="DX59" i="1"/>
  <c r="DS59" i="1"/>
  <c r="DN59" i="1"/>
  <c r="DI59" i="1"/>
  <c r="DD59" i="1"/>
  <c r="CY59" i="1"/>
  <c r="CT59" i="1"/>
  <c r="CO59" i="1"/>
  <c r="CJ59" i="1"/>
  <c r="CE59" i="1"/>
  <c r="BZ59" i="1"/>
  <c r="BU59" i="1"/>
  <c r="BP59" i="1"/>
  <c r="BK59" i="1"/>
  <c r="BF59" i="1"/>
  <c r="BA59" i="1"/>
  <c r="AV59" i="1"/>
  <c r="AQ59" i="1"/>
  <c r="AL59" i="1"/>
  <c r="AG59" i="1"/>
  <c r="AB59" i="1"/>
  <c r="W59" i="1"/>
  <c r="R59" i="1"/>
  <c r="M59" i="1"/>
  <c r="H59" i="1"/>
  <c r="B59" i="1"/>
  <c r="DX58" i="1"/>
  <c r="DS58" i="1"/>
  <c r="DN58" i="1"/>
  <c r="DI58" i="1"/>
  <c r="DD58" i="1"/>
  <c r="CY58" i="1"/>
  <c r="CT58" i="1"/>
  <c r="CO58" i="1"/>
  <c r="CJ58" i="1"/>
  <c r="CE58" i="1"/>
  <c r="BZ58" i="1"/>
  <c r="BU58" i="1"/>
  <c r="BP58" i="1"/>
  <c r="BK58" i="1"/>
  <c r="BF58" i="1"/>
  <c r="BA58" i="1"/>
  <c r="AV58" i="1"/>
  <c r="AQ58" i="1"/>
  <c r="AL58" i="1"/>
  <c r="AG58" i="1"/>
  <c r="AB58" i="1"/>
  <c r="W58" i="1"/>
  <c r="R58" i="1"/>
  <c r="M58" i="1"/>
  <c r="H58" i="1"/>
  <c r="B58" i="1"/>
  <c r="DX57" i="1"/>
  <c r="DS57" i="1"/>
  <c r="DN57" i="1"/>
  <c r="DI57" i="1"/>
  <c r="DD57" i="1"/>
  <c r="CY57" i="1"/>
  <c r="CT57" i="1"/>
  <c r="CO57" i="1"/>
  <c r="CJ57" i="1"/>
  <c r="CE57" i="1"/>
  <c r="BZ57" i="1"/>
  <c r="BU57" i="1"/>
  <c r="BP57" i="1"/>
  <c r="BK57" i="1"/>
  <c r="BF57" i="1"/>
  <c r="BA57" i="1"/>
  <c r="AV57" i="1"/>
  <c r="AQ57" i="1"/>
  <c r="AL57" i="1"/>
  <c r="AG57" i="1"/>
  <c r="AB57" i="1"/>
  <c r="W57" i="1"/>
  <c r="R57" i="1"/>
  <c r="M57" i="1"/>
  <c r="H57" i="1"/>
  <c r="B57" i="1"/>
  <c r="DX56" i="1"/>
  <c r="DS56" i="1"/>
  <c r="DN56" i="1"/>
  <c r="DI56" i="1"/>
  <c r="DD56" i="1"/>
  <c r="CY56" i="1"/>
  <c r="CT56" i="1"/>
  <c r="CO56" i="1"/>
  <c r="CJ56" i="1"/>
  <c r="CE56" i="1"/>
  <c r="BZ56" i="1"/>
  <c r="BU56" i="1"/>
  <c r="BP56" i="1"/>
  <c r="BK56" i="1"/>
  <c r="BF56" i="1"/>
  <c r="BA56" i="1"/>
  <c r="AV56" i="1"/>
  <c r="AQ56" i="1"/>
  <c r="AL56" i="1"/>
  <c r="AG56" i="1"/>
  <c r="AB56" i="1"/>
  <c r="W56" i="1"/>
  <c r="R56" i="1"/>
  <c r="M56" i="1"/>
  <c r="H56" i="1"/>
  <c r="B56" i="1"/>
  <c r="DX55" i="1"/>
  <c r="DS55" i="1"/>
  <c r="DN55" i="1"/>
  <c r="DI55" i="1"/>
  <c r="DD55" i="1"/>
  <c r="CY55" i="1"/>
  <c r="CT55" i="1"/>
  <c r="CO55" i="1"/>
  <c r="CJ55" i="1"/>
  <c r="CE55" i="1"/>
  <c r="BZ55" i="1"/>
  <c r="BU55" i="1"/>
  <c r="BP55" i="1"/>
  <c r="BK55" i="1"/>
  <c r="BF55" i="1"/>
  <c r="BA55" i="1"/>
  <c r="AV55" i="1"/>
  <c r="AQ55" i="1"/>
  <c r="AL55" i="1"/>
  <c r="AG55" i="1"/>
  <c r="AB55" i="1"/>
  <c r="W55" i="1"/>
  <c r="R55" i="1"/>
  <c r="M55" i="1"/>
  <c r="H55" i="1"/>
  <c r="B55" i="1"/>
  <c r="DX54" i="1"/>
  <c r="DS54" i="1"/>
  <c r="DN54" i="1"/>
  <c r="DI54" i="1"/>
  <c r="DD54" i="1"/>
  <c r="CY54" i="1"/>
  <c r="CT54" i="1"/>
  <c r="CO54" i="1"/>
  <c r="CJ54" i="1"/>
  <c r="CE54" i="1"/>
  <c r="BZ54" i="1"/>
  <c r="BU54" i="1"/>
  <c r="BP54" i="1"/>
  <c r="BK54" i="1"/>
  <c r="BF54" i="1"/>
  <c r="BA54" i="1"/>
  <c r="AV54" i="1"/>
  <c r="AQ54" i="1"/>
  <c r="AL54" i="1"/>
  <c r="AG54" i="1"/>
  <c r="AB54" i="1"/>
  <c r="W54" i="1"/>
  <c r="R54" i="1"/>
  <c r="M54" i="1"/>
  <c r="H54" i="1"/>
  <c r="B54" i="1"/>
  <c r="DX53" i="1"/>
  <c r="DS53" i="1"/>
  <c r="DN53" i="1"/>
  <c r="DI53" i="1"/>
  <c r="DD53" i="1"/>
  <c r="CY53" i="1"/>
  <c r="CT53" i="1"/>
  <c r="CO53" i="1"/>
  <c r="CJ53" i="1"/>
  <c r="CE53" i="1"/>
  <c r="BZ53" i="1"/>
  <c r="BU53" i="1"/>
  <c r="BP53" i="1"/>
  <c r="BK53" i="1"/>
  <c r="BF53" i="1"/>
  <c r="BA53" i="1"/>
  <c r="AV53" i="1"/>
  <c r="AQ53" i="1"/>
  <c r="AL53" i="1"/>
  <c r="AG53" i="1"/>
  <c r="AB53" i="1"/>
  <c r="W53" i="1"/>
  <c r="R53" i="1"/>
  <c r="M53" i="1"/>
  <c r="H53" i="1"/>
  <c r="B53" i="1"/>
  <c r="DX52" i="1"/>
  <c r="DS52" i="1"/>
  <c r="DN52" i="1"/>
  <c r="DI52" i="1"/>
  <c r="DD52" i="1"/>
  <c r="CY52" i="1"/>
  <c r="CT52" i="1"/>
  <c r="CO52" i="1"/>
  <c r="CJ52" i="1"/>
  <c r="CE52" i="1"/>
  <c r="BZ52" i="1"/>
  <c r="BU52" i="1"/>
  <c r="BP52" i="1"/>
  <c r="BK52" i="1"/>
  <c r="BF52" i="1"/>
  <c r="BA52" i="1"/>
  <c r="AV52" i="1"/>
  <c r="AQ52" i="1"/>
  <c r="AL52" i="1"/>
  <c r="AG52" i="1"/>
  <c r="AB52" i="1"/>
  <c r="W52" i="1"/>
  <c r="R52" i="1"/>
  <c r="M52" i="1"/>
  <c r="H52" i="1"/>
  <c r="B52" i="1"/>
  <c r="DX51" i="1"/>
  <c r="DS51" i="1"/>
  <c r="DN51" i="1"/>
  <c r="DI51" i="1"/>
  <c r="DD51" i="1"/>
  <c r="CY51" i="1"/>
  <c r="CT51" i="1"/>
  <c r="CO51" i="1"/>
  <c r="CJ51" i="1"/>
  <c r="CE51" i="1"/>
  <c r="BZ51" i="1"/>
  <c r="BU51" i="1"/>
  <c r="BP51" i="1"/>
  <c r="BK51" i="1"/>
  <c r="BF51" i="1"/>
  <c r="BA51" i="1"/>
  <c r="AV51" i="1"/>
  <c r="AQ51" i="1"/>
  <c r="AL51" i="1"/>
  <c r="AG51" i="1"/>
  <c r="AB51" i="1"/>
  <c r="W51" i="1"/>
  <c r="R51" i="1"/>
  <c r="M51" i="1"/>
  <c r="H51" i="1"/>
  <c r="B51" i="1"/>
  <c r="DX50" i="1"/>
  <c r="DS50" i="1"/>
  <c r="DN50" i="1"/>
  <c r="DI50" i="1"/>
  <c r="DD50" i="1"/>
  <c r="CY50" i="1"/>
  <c r="CT50" i="1"/>
  <c r="CO50" i="1"/>
  <c r="CJ50" i="1"/>
  <c r="CE50" i="1"/>
  <c r="BZ50" i="1"/>
  <c r="BU50" i="1"/>
  <c r="BP50" i="1"/>
  <c r="BK50" i="1"/>
  <c r="BF50" i="1"/>
  <c r="BA50" i="1"/>
  <c r="AV50" i="1"/>
  <c r="AQ50" i="1"/>
  <c r="AL50" i="1"/>
  <c r="AG50" i="1"/>
  <c r="AB50" i="1"/>
  <c r="W50" i="1"/>
  <c r="R50" i="1"/>
  <c r="M50" i="1"/>
  <c r="H50" i="1"/>
  <c r="B50" i="1"/>
  <c r="DX49" i="1"/>
  <c r="DS49" i="1"/>
  <c r="DN49" i="1"/>
  <c r="DI49" i="1"/>
  <c r="DD49" i="1"/>
  <c r="CY49" i="1"/>
  <c r="CT49" i="1"/>
  <c r="CO49" i="1"/>
  <c r="CJ49" i="1"/>
  <c r="CE49" i="1"/>
  <c r="BZ49" i="1"/>
  <c r="BU49" i="1"/>
  <c r="BP49" i="1"/>
  <c r="BK49" i="1"/>
  <c r="BF49" i="1"/>
  <c r="BA49" i="1"/>
  <c r="AV49" i="1"/>
  <c r="AQ49" i="1"/>
  <c r="AL49" i="1"/>
  <c r="AG49" i="1"/>
  <c r="AB49" i="1"/>
  <c r="W49" i="1"/>
  <c r="R49" i="1"/>
  <c r="M49" i="1"/>
  <c r="H49" i="1"/>
  <c r="B49" i="1"/>
  <c r="DX48" i="1"/>
  <c r="DS48" i="1"/>
  <c r="DN48" i="1"/>
  <c r="DI48" i="1"/>
  <c r="DD48" i="1"/>
  <c r="CY48" i="1"/>
  <c r="CT48" i="1"/>
  <c r="CO48" i="1"/>
  <c r="CJ48" i="1"/>
  <c r="CE48" i="1"/>
  <c r="BZ48" i="1"/>
  <c r="BU48" i="1"/>
  <c r="BP48" i="1"/>
  <c r="BK48" i="1"/>
  <c r="BF48" i="1"/>
  <c r="BA48" i="1"/>
  <c r="AV48" i="1"/>
  <c r="AQ48" i="1"/>
  <c r="AL48" i="1"/>
  <c r="AG48" i="1"/>
  <c r="AB48" i="1"/>
  <c r="W48" i="1"/>
  <c r="R48" i="1"/>
  <c r="M48" i="1"/>
  <c r="H48" i="1"/>
  <c r="B48" i="1"/>
  <c r="DX47" i="1"/>
  <c r="DS47" i="1"/>
  <c r="DN47" i="1"/>
  <c r="DI47" i="1"/>
  <c r="DD47" i="1"/>
  <c r="CT47" i="1"/>
  <c r="CO47" i="1"/>
  <c r="CJ47" i="1"/>
  <c r="CE47" i="1"/>
  <c r="BZ47" i="1"/>
  <c r="BU47" i="1"/>
  <c r="BP47" i="1"/>
  <c r="BK47" i="1"/>
  <c r="BF47" i="1"/>
  <c r="BA47" i="1"/>
  <c r="AV47" i="1"/>
  <c r="AQ47" i="1"/>
  <c r="AL47" i="1"/>
  <c r="AG47" i="1"/>
  <c r="AB47" i="1"/>
  <c r="W47" i="1"/>
  <c r="R47" i="1"/>
  <c r="M47" i="1"/>
  <c r="H47" i="1"/>
  <c r="B47" i="1"/>
  <c r="DX46" i="1"/>
  <c r="DS46" i="1"/>
  <c r="DN46" i="1"/>
  <c r="DI46" i="1"/>
  <c r="DD46" i="1"/>
  <c r="CY46" i="1"/>
  <c r="CT46" i="1"/>
  <c r="CO46" i="1"/>
  <c r="CJ46" i="1"/>
  <c r="CE46" i="1"/>
  <c r="BZ46" i="1"/>
  <c r="BU46" i="1"/>
  <c r="BP46" i="1"/>
  <c r="BK46" i="1"/>
  <c r="BF46" i="1"/>
  <c r="BA46" i="1"/>
  <c r="AV46" i="1"/>
  <c r="AQ46" i="1"/>
  <c r="AL46" i="1"/>
  <c r="AG46" i="1"/>
  <c r="AB46" i="1"/>
  <c r="W46" i="1"/>
  <c r="R46" i="1"/>
  <c r="M46" i="1"/>
  <c r="H46" i="1"/>
  <c r="B46" i="1"/>
  <c r="DX45" i="1"/>
  <c r="DS45" i="1"/>
  <c r="DN45" i="1"/>
  <c r="DI45" i="1"/>
  <c r="DD45" i="1"/>
  <c r="CY45" i="1"/>
  <c r="CT45" i="1"/>
  <c r="CO45" i="1"/>
  <c r="CJ45" i="1"/>
  <c r="CE45" i="1"/>
  <c r="BZ45" i="1"/>
  <c r="BU45" i="1"/>
  <c r="BP45" i="1"/>
  <c r="BK45" i="1"/>
  <c r="BF45" i="1"/>
  <c r="BA45" i="1"/>
  <c r="AV45" i="1"/>
  <c r="AQ45" i="1"/>
  <c r="AL45" i="1"/>
  <c r="AG45" i="1"/>
  <c r="AB45" i="1"/>
  <c r="W45" i="1"/>
  <c r="R45" i="1"/>
  <c r="M45" i="1"/>
  <c r="H45" i="1"/>
  <c r="B45" i="1"/>
  <c r="DX44" i="1"/>
  <c r="DS44" i="1"/>
  <c r="DN44" i="1"/>
  <c r="DI44" i="1"/>
  <c r="DD44" i="1"/>
  <c r="CY44" i="1"/>
  <c r="CT44" i="1"/>
  <c r="CO44" i="1"/>
  <c r="CJ44" i="1"/>
  <c r="CE44" i="1"/>
  <c r="BZ44" i="1"/>
  <c r="BU44" i="1"/>
  <c r="BP44" i="1"/>
  <c r="BK44" i="1"/>
  <c r="BF44" i="1"/>
  <c r="BA44" i="1"/>
  <c r="AV44" i="1"/>
  <c r="AQ44" i="1"/>
  <c r="AL44" i="1"/>
  <c r="AG44" i="1"/>
  <c r="AB44" i="1"/>
  <c r="W44" i="1"/>
  <c r="R44" i="1"/>
  <c r="M44" i="1"/>
  <c r="H44" i="1"/>
  <c r="B44" i="1"/>
  <c r="DX43" i="1"/>
  <c r="DS43" i="1"/>
  <c r="DN43" i="1"/>
  <c r="DI43" i="1"/>
  <c r="DD43" i="1"/>
  <c r="CY43" i="1"/>
  <c r="CT43" i="1"/>
  <c r="CO43" i="1"/>
  <c r="CJ43" i="1"/>
  <c r="CJ67" i="1" s="1"/>
  <c r="C56" i="1" s="1"/>
  <c r="CE43" i="1"/>
  <c r="BZ43" i="1"/>
  <c r="BU43" i="1"/>
  <c r="BP43" i="1"/>
  <c r="BK43" i="1"/>
  <c r="BF43" i="1"/>
  <c r="BA43" i="1"/>
  <c r="AV43" i="1"/>
  <c r="AQ43" i="1"/>
  <c r="AL43" i="1"/>
  <c r="AG43" i="1"/>
  <c r="AB43" i="1"/>
  <c r="W43" i="1"/>
  <c r="R43" i="1"/>
  <c r="M43" i="1"/>
  <c r="H43" i="1"/>
  <c r="H67" i="1" s="1"/>
  <c r="C40" i="1" s="1"/>
  <c r="B43" i="1"/>
  <c r="DX42" i="1"/>
  <c r="DS42" i="1"/>
  <c r="DN42" i="1"/>
  <c r="DI42" i="1"/>
  <c r="DD42" i="1"/>
  <c r="CY42" i="1"/>
  <c r="CT42" i="1"/>
  <c r="CO42" i="1"/>
  <c r="CJ42" i="1"/>
  <c r="CE42" i="1"/>
  <c r="BZ42" i="1"/>
  <c r="BU42" i="1"/>
  <c r="BU67" i="1" s="1"/>
  <c r="C53" i="1" s="1"/>
  <c r="BP42" i="1"/>
  <c r="BK42" i="1"/>
  <c r="BF42" i="1"/>
  <c r="BA42" i="1"/>
  <c r="AV42" i="1"/>
  <c r="AQ42" i="1"/>
  <c r="AL42" i="1"/>
  <c r="AG42" i="1"/>
  <c r="AB42" i="1"/>
  <c r="W42" i="1"/>
  <c r="R42" i="1"/>
  <c r="M42" i="1"/>
  <c r="H42" i="1"/>
  <c r="B42" i="1"/>
  <c r="DX41" i="1"/>
  <c r="DX67" i="1" s="1"/>
  <c r="C64" i="1" s="1"/>
  <c r="DS41" i="1"/>
  <c r="DN41" i="1"/>
  <c r="DI41" i="1"/>
  <c r="DD41" i="1"/>
  <c r="CY41" i="1"/>
  <c r="CT41" i="1"/>
  <c r="CO41" i="1"/>
  <c r="CJ41" i="1"/>
  <c r="CE41" i="1"/>
  <c r="BZ41" i="1"/>
  <c r="BU41" i="1"/>
  <c r="BP41" i="1"/>
  <c r="BK41" i="1"/>
  <c r="BF41" i="1"/>
  <c r="BA41" i="1"/>
  <c r="AV41" i="1"/>
  <c r="AV67" i="1" s="1"/>
  <c r="C48" i="1" s="1"/>
  <c r="AQ41" i="1"/>
  <c r="AL41" i="1"/>
  <c r="AG41" i="1"/>
  <c r="AB41" i="1"/>
  <c r="W41" i="1"/>
  <c r="R41" i="1"/>
  <c r="M41" i="1"/>
  <c r="H41" i="1"/>
  <c r="B41" i="1"/>
  <c r="DX40" i="1"/>
  <c r="DS40" i="1"/>
  <c r="DS67" i="1" s="1"/>
  <c r="C63" i="1" s="1"/>
  <c r="DN40" i="1"/>
  <c r="DN67" i="1" s="1"/>
  <c r="C62" i="1" s="1"/>
  <c r="DI40" i="1"/>
  <c r="DI67" i="1" s="1"/>
  <c r="C61" i="1" s="1"/>
  <c r="DD40" i="1"/>
  <c r="DD67" i="1" s="1"/>
  <c r="C60" i="1" s="1"/>
  <c r="CY40" i="1"/>
  <c r="CY67" i="1" s="1"/>
  <c r="C59" i="1" s="1"/>
  <c r="CT40" i="1"/>
  <c r="CT67" i="1" s="1"/>
  <c r="C58" i="1" s="1"/>
  <c r="CO40" i="1"/>
  <c r="CO67" i="1" s="1"/>
  <c r="C57" i="1" s="1"/>
  <c r="CJ40" i="1"/>
  <c r="CE40" i="1"/>
  <c r="CE67" i="1" s="1"/>
  <c r="C55" i="1" s="1"/>
  <c r="BZ40" i="1"/>
  <c r="BZ67" i="1" s="1"/>
  <c r="C54" i="1" s="1"/>
  <c r="BU40" i="1"/>
  <c r="BP40" i="1"/>
  <c r="BP67" i="1" s="1"/>
  <c r="C52" i="1" s="1"/>
  <c r="BK40" i="1"/>
  <c r="BK67" i="1" s="1"/>
  <c r="C51" i="1" s="1"/>
  <c r="BF40" i="1"/>
  <c r="BF67" i="1" s="1"/>
  <c r="C50" i="1" s="1"/>
  <c r="BA40" i="1"/>
  <c r="BA67" i="1" s="1"/>
  <c r="C49" i="1" s="1"/>
  <c r="AV40" i="1"/>
  <c r="AQ40" i="1"/>
  <c r="AQ67" i="1" s="1"/>
  <c r="C47" i="1" s="1"/>
  <c r="AL40" i="1"/>
  <c r="AL67" i="1" s="1"/>
  <c r="C46" i="1" s="1"/>
  <c r="AG40" i="1"/>
  <c r="AG67" i="1" s="1"/>
  <c r="C45" i="1" s="1"/>
  <c r="AB40" i="1"/>
  <c r="AB67" i="1" s="1"/>
  <c r="C44" i="1" s="1"/>
  <c r="W40" i="1"/>
  <c r="W67" i="1" s="1"/>
  <c r="C43" i="1" s="1"/>
  <c r="R40" i="1"/>
  <c r="R67" i="1" s="1"/>
  <c r="C42" i="1" s="1"/>
  <c r="M40" i="1"/>
  <c r="M67" i="1" s="1"/>
  <c r="C41" i="1" s="1"/>
  <c r="H40" i="1"/>
  <c r="B40" i="1"/>
  <c r="DX36" i="1"/>
  <c r="DS36" i="1"/>
  <c r="DN36" i="1"/>
  <c r="DI36" i="1"/>
  <c r="DD36" i="1"/>
  <c r="CY36" i="1"/>
  <c r="CT36" i="1"/>
  <c r="CO36" i="1"/>
  <c r="CJ36" i="1"/>
  <c r="CE36" i="1"/>
  <c r="BZ36" i="1"/>
  <c r="BU36" i="1"/>
  <c r="BP36" i="1"/>
  <c r="BK36" i="1"/>
  <c r="BF36" i="1"/>
  <c r="BA36" i="1"/>
  <c r="AV36" i="1"/>
  <c r="AQ36" i="1"/>
  <c r="AL36" i="1"/>
  <c r="AG36" i="1"/>
  <c r="AB36" i="1"/>
  <c r="W36" i="1"/>
  <c r="R36" i="1"/>
  <c r="M36" i="1"/>
  <c r="H36" i="1"/>
  <c r="DX35" i="1"/>
  <c r="DS35" i="1"/>
  <c r="DN35" i="1"/>
  <c r="DI35" i="1"/>
  <c r="DD35" i="1"/>
  <c r="CY35" i="1"/>
  <c r="CT35" i="1"/>
  <c r="CO35" i="1"/>
  <c r="CJ35" i="1"/>
  <c r="CE35" i="1"/>
  <c r="BZ35" i="1"/>
  <c r="BU35" i="1"/>
  <c r="BP35" i="1"/>
  <c r="BK35" i="1"/>
  <c r="BF35" i="1"/>
  <c r="BA35" i="1"/>
  <c r="AV35" i="1"/>
  <c r="AQ35" i="1"/>
  <c r="AL35" i="1"/>
  <c r="AG35" i="1"/>
  <c r="AB35" i="1"/>
  <c r="W35" i="1"/>
  <c r="R35" i="1"/>
  <c r="M35" i="1"/>
  <c r="H35" i="1"/>
  <c r="DX34" i="1"/>
  <c r="DS34" i="1"/>
  <c r="DN34" i="1"/>
  <c r="DI34" i="1"/>
  <c r="DD34" i="1"/>
  <c r="CY34" i="1"/>
  <c r="CT34" i="1"/>
  <c r="CO34" i="1"/>
  <c r="CJ34" i="1"/>
  <c r="CE34" i="1"/>
  <c r="BZ34" i="1"/>
  <c r="BU34" i="1"/>
  <c r="BP34" i="1"/>
  <c r="BK34" i="1"/>
  <c r="BF34" i="1"/>
  <c r="BA34" i="1"/>
  <c r="AV34" i="1"/>
  <c r="AQ34" i="1"/>
  <c r="AL34" i="1"/>
  <c r="AG34" i="1"/>
  <c r="AB34" i="1"/>
  <c r="W34" i="1"/>
  <c r="R34" i="1"/>
  <c r="M34" i="1"/>
  <c r="H34" i="1"/>
  <c r="DX33" i="1"/>
  <c r="DS33" i="1"/>
  <c r="DN33" i="1"/>
  <c r="DI33" i="1"/>
  <c r="DD33" i="1"/>
  <c r="CY33" i="1"/>
  <c r="CT33" i="1"/>
  <c r="CO33" i="1"/>
  <c r="CJ33" i="1"/>
  <c r="CE33" i="1"/>
  <c r="BZ33" i="1"/>
  <c r="BU33" i="1"/>
  <c r="BP33" i="1"/>
  <c r="BK33" i="1"/>
  <c r="BF33" i="1"/>
  <c r="BA33" i="1"/>
  <c r="AV33" i="1"/>
  <c r="AQ33" i="1"/>
  <c r="AL33" i="1"/>
  <c r="AG33" i="1"/>
  <c r="AB33" i="1"/>
  <c r="W33" i="1"/>
  <c r="R33" i="1"/>
  <c r="M33" i="1"/>
  <c r="H33" i="1"/>
  <c r="B33" i="1"/>
  <c r="DX32" i="1"/>
  <c r="DS32" i="1"/>
  <c r="DN32" i="1"/>
  <c r="DI32" i="1"/>
  <c r="DD32" i="1"/>
  <c r="CY32" i="1"/>
  <c r="CT32" i="1"/>
  <c r="CO32" i="1"/>
  <c r="CJ32" i="1"/>
  <c r="CE32" i="1"/>
  <c r="BZ32" i="1"/>
  <c r="BU32" i="1"/>
  <c r="BP32" i="1"/>
  <c r="BK32" i="1"/>
  <c r="BF32" i="1"/>
  <c r="BA32" i="1"/>
  <c r="AV32" i="1"/>
  <c r="AQ32" i="1"/>
  <c r="AL32" i="1"/>
  <c r="AG32" i="1"/>
  <c r="AB32" i="1"/>
  <c r="W32" i="1"/>
  <c r="R32" i="1"/>
  <c r="M32" i="1"/>
  <c r="H32" i="1"/>
  <c r="B32" i="1"/>
  <c r="DX31" i="1"/>
  <c r="DS31" i="1"/>
  <c r="DN31" i="1"/>
  <c r="DI31" i="1"/>
  <c r="DD31" i="1"/>
  <c r="CY31" i="1"/>
  <c r="CT31" i="1"/>
  <c r="CO31" i="1"/>
  <c r="CJ31" i="1"/>
  <c r="CE31" i="1"/>
  <c r="BZ31" i="1"/>
  <c r="BU31" i="1"/>
  <c r="BP31" i="1"/>
  <c r="BK31" i="1"/>
  <c r="BF31" i="1"/>
  <c r="BA31" i="1"/>
  <c r="AV31" i="1"/>
  <c r="AQ31" i="1"/>
  <c r="AL31" i="1"/>
  <c r="AG31" i="1"/>
  <c r="AB31" i="1"/>
  <c r="W31" i="1"/>
  <c r="R31" i="1"/>
  <c r="M31" i="1"/>
  <c r="H31" i="1"/>
  <c r="B31" i="1"/>
  <c r="DX30" i="1"/>
  <c r="DS30" i="1"/>
  <c r="DN30" i="1"/>
  <c r="DI30" i="1"/>
  <c r="DD30" i="1"/>
  <c r="CY30" i="1"/>
  <c r="CT30" i="1"/>
  <c r="CO30" i="1"/>
  <c r="CJ30" i="1"/>
  <c r="CE30" i="1"/>
  <c r="BZ30" i="1"/>
  <c r="BU30" i="1"/>
  <c r="BP30" i="1"/>
  <c r="BK30" i="1"/>
  <c r="BF30" i="1"/>
  <c r="BA30" i="1"/>
  <c r="AV30" i="1"/>
  <c r="AQ30" i="1"/>
  <c r="AL30" i="1"/>
  <c r="AG30" i="1"/>
  <c r="AB30" i="1"/>
  <c r="W30" i="1"/>
  <c r="R30" i="1"/>
  <c r="M30" i="1"/>
  <c r="H30" i="1"/>
  <c r="B30" i="1"/>
  <c r="DX29" i="1"/>
  <c r="DS29" i="1"/>
  <c r="DN29" i="1"/>
  <c r="DI29" i="1"/>
  <c r="DD29" i="1"/>
  <c r="CY29" i="1"/>
  <c r="CT29" i="1"/>
  <c r="CO29" i="1"/>
  <c r="CJ29" i="1"/>
  <c r="CE29" i="1"/>
  <c r="BZ29" i="1"/>
  <c r="BU29" i="1"/>
  <c r="BP29" i="1"/>
  <c r="BK29" i="1"/>
  <c r="BF29" i="1"/>
  <c r="BA29" i="1"/>
  <c r="AV29" i="1"/>
  <c r="AQ29" i="1"/>
  <c r="AL29" i="1"/>
  <c r="AG29" i="1"/>
  <c r="AB29" i="1"/>
  <c r="W29" i="1"/>
  <c r="R29" i="1"/>
  <c r="M29" i="1"/>
  <c r="H29" i="1"/>
  <c r="B29" i="1"/>
  <c r="DX28" i="1"/>
  <c r="DS28" i="1"/>
  <c r="DN28" i="1"/>
  <c r="DI28" i="1"/>
  <c r="DD28" i="1"/>
  <c r="CY28" i="1"/>
  <c r="CT28" i="1"/>
  <c r="CO28" i="1"/>
  <c r="CJ28" i="1"/>
  <c r="CE28" i="1"/>
  <c r="BZ28" i="1"/>
  <c r="BU28" i="1"/>
  <c r="BP28" i="1"/>
  <c r="BK28" i="1"/>
  <c r="BF28" i="1"/>
  <c r="BA28" i="1"/>
  <c r="AV28" i="1"/>
  <c r="AQ28" i="1"/>
  <c r="AL28" i="1"/>
  <c r="AG28" i="1"/>
  <c r="AB28" i="1"/>
  <c r="W28" i="1"/>
  <c r="R28" i="1"/>
  <c r="M28" i="1"/>
  <c r="H28" i="1"/>
  <c r="B28" i="1"/>
  <c r="DX27" i="1"/>
  <c r="DS27" i="1"/>
  <c r="DN27" i="1"/>
  <c r="DI27" i="1"/>
  <c r="DD27" i="1"/>
  <c r="CY27" i="1"/>
  <c r="CT27" i="1"/>
  <c r="CO27" i="1"/>
  <c r="CJ27" i="1"/>
  <c r="CE27" i="1"/>
  <c r="BZ27" i="1"/>
  <c r="BU27" i="1"/>
  <c r="BP27" i="1"/>
  <c r="BK27" i="1"/>
  <c r="BF27" i="1"/>
  <c r="BA27" i="1"/>
  <c r="AV27" i="1"/>
  <c r="AQ27" i="1"/>
  <c r="AL27" i="1"/>
  <c r="AG27" i="1"/>
  <c r="AB27" i="1"/>
  <c r="W27" i="1"/>
  <c r="R27" i="1"/>
  <c r="M27" i="1"/>
  <c r="H27" i="1"/>
  <c r="B27" i="1"/>
  <c r="DX26" i="1"/>
  <c r="DS26" i="1"/>
  <c r="DN26" i="1"/>
  <c r="DI26" i="1"/>
  <c r="DD26" i="1"/>
  <c r="CY26" i="1"/>
  <c r="CT26" i="1"/>
  <c r="CO26" i="1"/>
  <c r="CJ26" i="1"/>
  <c r="CE26" i="1"/>
  <c r="BZ26" i="1"/>
  <c r="BU26" i="1"/>
  <c r="BP26" i="1"/>
  <c r="BK26" i="1"/>
  <c r="BF26" i="1"/>
  <c r="BA26" i="1"/>
  <c r="AV26" i="1"/>
  <c r="AQ26" i="1"/>
  <c r="AL26" i="1"/>
  <c r="AG26" i="1"/>
  <c r="AB26" i="1"/>
  <c r="W26" i="1"/>
  <c r="R26" i="1"/>
  <c r="M26" i="1"/>
  <c r="H26" i="1"/>
  <c r="B26" i="1"/>
  <c r="DX25" i="1"/>
  <c r="DS25" i="1"/>
  <c r="DN25" i="1"/>
  <c r="DI25" i="1"/>
  <c r="DD25" i="1"/>
  <c r="CY25" i="1"/>
  <c r="CT25" i="1"/>
  <c r="CO25" i="1"/>
  <c r="CJ25" i="1"/>
  <c r="CE25" i="1"/>
  <c r="BZ25" i="1"/>
  <c r="BU25" i="1"/>
  <c r="BP25" i="1"/>
  <c r="BK25" i="1"/>
  <c r="BF25" i="1"/>
  <c r="BA25" i="1"/>
  <c r="AV25" i="1"/>
  <c r="AQ25" i="1"/>
  <c r="AL25" i="1"/>
  <c r="AG25" i="1"/>
  <c r="AB25" i="1"/>
  <c r="W25" i="1"/>
  <c r="R25" i="1"/>
  <c r="M25" i="1"/>
  <c r="H25" i="1"/>
  <c r="B25" i="1"/>
  <c r="DX24" i="1"/>
  <c r="DS24" i="1"/>
  <c r="DN24" i="1"/>
  <c r="DI24" i="1"/>
  <c r="CY24" i="1"/>
  <c r="CT24" i="1"/>
  <c r="CO24" i="1"/>
  <c r="CJ24" i="1"/>
  <c r="CE24" i="1"/>
  <c r="BZ24" i="1"/>
  <c r="BU24" i="1"/>
  <c r="BP24" i="1"/>
  <c r="BK24" i="1"/>
  <c r="BF24" i="1"/>
  <c r="BA24" i="1"/>
  <c r="AV24" i="1"/>
  <c r="AQ24" i="1"/>
  <c r="AL24" i="1"/>
  <c r="AG24" i="1"/>
  <c r="AB24" i="1"/>
  <c r="W24" i="1"/>
  <c r="R24" i="1"/>
  <c r="M24" i="1"/>
  <c r="H24" i="1"/>
  <c r="B24" i="1"/>
  <c r="DX23" i="1"/>
  <c r="DS23" i="1"/>
  <c r="DN23" i="1"/>
  <c r="DI23" i="1"/>
  <c r="DD23" i="1"/>
  <c r="CY23" i="1"/>
  <c r="CT23" i="1"/>
  <c r="CO23" i="1"/>
  <c r="CJ23" i="1"/>
  <c r="CE23" i="1"/>
  <c r="BZ23" i="1"/>
  <c r="BU23" i="1"/>
  <c r="BP23" i="1"/>
  <c r="BK23" i="1"/>
  <c r="BF23" i="1"/>
  <c r="BA23" i="1"/>
  <c r="AV23" i="1"/>
  <c r="AQ23" i="1"/>
  <c r="AL23" i="1"/>
  <c r="AG23" i="1"/>
  <c r="AB23" i="1"/>
  <c r="W23" i="1"/>
  <c r="R23" i="1"/>
  <c r="M23" i="1"/>
  <c r="H23" i="1"/>
  <c r="B23" i="1"/>
  <c r="DX22" i="1"/>
  <c r="DS22" i="1"/>
  <c r="DN22" i="1"/>
  <c r="DI22" i="1"/>
  <c r="DD22" i="1"/>
  <c r="CY22" i="1"/>
  <c r="CT22" i="1"/>
  <c r="CO22" i="1"/>
  <c r="CJ22" i="1"/>
  <c r="CE22" i="1"/>
  <c r="BZ22" i="1"/>
  <c r="BU22" i="1"/>
  <c r="BP22" i="1"/>
  <c r="BK22" i="1"/>
  <c r="BF22" i="1"/>
  <c r="BA22" i="1"/>
  <c r="AV22" i="1"/>
  <c r="AQ22" i="1"/>
  <c r="AL22" i="1"/>
  <c r="AG22" i="1"/>
  <c r="AB22" i="1"/>
  <c r="W22" i="1"/>
  <c r="R22" i="1"/>
  <c r="M22" i="1"/>
  <c r="H22" i="1"/>
  <c r="B22" i="1"/>
  <c r="DX21" i="1"/>
  <c r="DS21" i="1"/>
  <c r="DN21" i="1"/>
  <c r="DI21" i="1"/>
  <c r="DD21" i="1"/>
  <c r="CY21" i="1"/>
  <c r="CT21" i="1"/>
  <c r="CO21" i="1"/>
  <c r="CJ21" i="1"/>
  <c r="CE21" i="1"/>
  <c r="BZ21" i="1"/>
  <c r="BU21" i="1"/>
  <c r="BP21" i="1"/>
  <c r="BK21" i="1"/>
  <c r="BF21" i="1"/>
  <c r="BA21" i="1"/>
  <c r="AV21" i="1"/>
  <c r="AQ21" i="1"/>
  <c r="AL21" i="1"/>
  <c r="AG21" i="1"/>
  <c r="AB21" i="1"/>
  <c r="W21" i="1"/>
  <c r="R21" i="1"/>
  <c r="M21" i="1"/>
  <c r="H21" i="1"/>
  <c r="B21" i="1"/>
  <c r="DX20" i="1"/>
  <c r="DS20" i="1"/>
  <c r="DN20" i="1"/>
  <c r="DI20" i="1"/>
  <c r="DD20" i="1"/>
  <c r="CY20" i="1"/>
  <c r="CT20" i="1"/>
  <c r="CO20" i="1"/>
  <c r="CJ20" i="1"/>
  <c r="CE20" i="1"/>
  <c r="BZ20" i="1"/>
  <c r="BU20" i="1"/>
  <c r="BP20" i="1"/>
  <c r="BK20" i="1"/>
  <c r="BF20" i="1"/>
  <c r="BA20" i="1"/>
  <c r="AV20" i="1"/>
  <c r="AQ20" i="1"/>
  <c r="AL20" i="1"/>
  <c r="AG20" i="1"/>
  <c r="AB20" i="1"/>
  <c r="W20" i="1"/>
  <c r="R20" i="1"/>
  <c r="M20" i="1"/>
  <c r="H20" i="1"/>
  <c r="B20" i="1"/>
  <c r="DX19" i="1"/>
  <c r="DS19" i="1"/>
  <c r="DN19" i="1"/>
  <c r="DI19" i="1"/>
  <c r="DD19" i="1"/>
  <c r="CY19" i="1"/>
  <c r="CT19" i="1"/>
  <c r="CO19" i="1"/>
  <c r="CJ19" i="1"/>
  <c r="CE19" i="1"/>
  <c r="BZ19" i="1"/>
  <c r="BU19" i="1"/>
  <c r="BP19" i="1"/>
  <c r="BK19" i="1"/>
  <c r="BF19" i="1"/>
  <c r="BA19" i="1"/>
  <c r="AV19" i="1"/>
  <c r="AQ19" i="1"/>
  <c r="AL19" i="1"/>
  <c r="AG19" i="1"/>
  <c r="AB19" i="1"/>
  <c r="W19" i="1"/>
  <c r="R19" i="1"/>
  <c r="M19" i="1"/>
  <c r="H19" i="1"/>
  <c r="B19" i="1"/>
  <c r="DX18" i="1"/>
  <c r="DS18" i="1"/>
  <c r="DN18" i="1"/>
  <c r="DI18" i="1"/>
  <c r="DD18" i="1"/>
  <c r="CY18" i="1"/>
  <c r="CT18" i="1"/>
  <c r="CO18" i="1"/>
  <c r="CJ18" i="1"/>
  <c r="CE18" i="1"/>
  <c r="BZ18" i="1"/>
  <c r="BU18" i="1"/>
  <c r="BP18" i="1"/>
  <c r="BK18" i="1"/>
  <c r="BF18" i="1"/>
  <c r="BA18" i="1"/>
  <c r="AV18" i="1"/>
  <c r="AQ18" i="1"/>
  <c r="AL18" i="1"/>
  <c r="AG18" i="1"/>
  <c r="AB18" i="1"/>
  <c r="W18" i="1"/>
  <c r="R18" i="1"/>
  <c r="M18" i="1"/>
  <c r="H18" i="1"/>
  <c r="B18" i="1"/>
  <c r="DX17" i="1"/>
  <c r="DS17" i="1"/>
  <c r="DN17" i="1"/>
  <c r="DI17" i="1"/>
  <c r="DD17" i="1"/>
  <c r="CY17" i="1"/>
  <c r="CT17" i="1"/>
  <c r="CO17" i="1"/>
  <c r="CJ17" i="1"/>
  <c r="CE17" i="1"/>
  <c r="BZ17" i="1"/>
  <c r="BU17" i="1"/>
  <c r="BP17" i="1"/>
  <c r="BK17" i="1"/>
  <c r="BF17" i="1"/>
  <c r="BA17" i="1"/>
  <c r="AV17" i="1"/>
  <c r="AQ17" i="1"/>
  <c r="AL17" i="1"/>
  <c r="AG17" i="1"/>
  <c r="AB17" i="1"/>
  <c r="W17" i="1"/>
  <c r="R17" i="1"/>
  <c r="M17" i="1"/>
  <c r="H17" i="1"/>
  <c r="B17" i="1"/>
  <c r="DX16" i="1"/>
  <c r="DS16" i="1"/>
  <c r="DN16" i="1"/>
  <c r="DI16" i="1"/>
  <c r="DD16" i="1"/>
  <c r="CY16" i="1"/>
  <c r="CT16" i="1"/>
  <c r="CO16" i="1"/>
  <c r="CJ16" i="1"/>
  <c r="CE16" i="1"/>
  <c r="BZ16" i="1"/>
  <c r="BU16" i="1"/>
  <c r="BP16" i="1"/>
  <c r="BP37" i="1" s="1"/>
  <c r="C22" i="1" s="1"/>
  <c r="BK16" i="1"/>
  <c r="BF16" i="1"/>
  <c r="BA16" i="1"/>
  <c r="AV16" i="1"/>
  <c r="AQ16" i="1"/>
  <c r="AL16" i="1"/>
  <c r="AG16" i="1"/>
  <c r="AB16" i="1"/>
  <c r="W16" i="1"/>
  <c r="R16" i="1"/>
  <c r="M16" i="1"/>
  <c r="H16" i="1"/>
  <c r="B16" i="1"/>
  <c r="DX15" i="1"/>
  <c r="DS15" i="1"/>
  <c r="DN15" i="1"/>
  <c r="DI15" i="1"/>
  <c r="DD15" i="1"/>
  <c r="CY15" i="1"/>
  <c r="CT15" i="1"/>
  <c r="CO15" i="1"/>
  <c r="CJ15" i="1"/>
  <c r="CE15" i="1"/>
  <c r="BZ15" i="1"/>
  <c r="BU15" i="1"/>
  <c r="BP15" i="1"/>
  <c r="BK15" i="1"/>
  <c r="BF15" i="1"/>
  <c r="BA15" i="1"/>
  <c r="AV15" i="1"/>
  <c r="AQ15" i="1"/>
  <c r="AL15" i="1"/>
  <c r="AG15" i="1"/>
  <c r="AB15" i="1"/>
  <c r="W15" i="1"/>
  <c r="R15" i="1"/>
  <c r="M15" i="1"/>
  <c r="H15" i="1"/>
  <c r="B15" i="1"/>
  <c r="DX14" i="1"/>
  <c r="DS14" i="1"/>
  <c r="DN14" i="1"/>
  <c r="DI14" i="1"/>
  <c r="DD14" i="1"/>
  <c r="CY14" i="1"/>
  <c r="CT14" i="1"/>
  <c r="CO14" i="1"/>
  <c r="CJ14" i="1"/>
  <c r="CE14" i="1"/>
  <c r="BZ14" i="1"/>
  <c r="BU14" i="1"/>
  <c r="BP14" i="1"/>
  <c r="BK14" i="1"/>
  <c r="BF14" i="1"/>
  <c r="BA14" i="1"/>
  <c r="AV14" i="1"/>
  <c r="AQ14" i="1"/>
  <c r="AL14" i="1"/>
  <c r="AG14" i="1"/>
  <c r="AB14" i="1"/>
  <c r="W14" i="1"/>
  <c r="R14" i="1"/>
  <c r="M14" i="1"/>
  <c r="H14" i="1"/>
  <c r="B14" i="1"/>
  <c r="DX13" i="1"/>
  <c r="DS13" i="1"/>
  <c r="DN13" i="1"/>
  <c r="DI13" i="1"/>
  <c r="DD13" i="1"/>
  <c r="CY13" i="1"/>
  <c r="CT13" i="1"/>
  <c r="CO13" i="1"/>
  <c r="CJ13" i="1"/>
  <c r="CE13" i="1"/>
  <c r="BZ13" i="1"/>
  <c r="BU13" i="1"/>
  <c r="BU37" i="1" s="1"/>
  <c r="C23" i="1" s="1"/>
  <c r="BP13" i="1"/>
  <c r="BK13" i="1"/>
  <c r="BF13" i="1"/>
  <c r="BA13" i="1"/>
  <c r="AV13" i="1"/>
  <c r="AQ13" i="1"/>
  <c r="AL13" i="1"/>
  <c r="AG13" i="1"/>
  <c r="AB13" i="1"/>
  <c r="W13" i="1"/>
  <c r="R13" i="1"/>
  <c r="M13" i="1"/>
  <c r="H13" i="1"/>
  <c r="B13" i="1"/>
  <c r="DX12" i="1"/>
  <c r="DS12" i="1"/>
  <c r="DN12" i="1"/>
  <c r="DI12" i="1"/>
  <c r="DD12" i="1"/>
  <c r="CY12" i="1"/>
  <c r="CT12" i="1"/>
  <c r="CO12" i="1"/>
  <c r="CJ12" i="1"/>
  <c r="CE12" i="1"/>
  <c r="BZ12" i="1"/>
  <c r="BU12" i="1"/>
  <c r="BP12" i="1"/>
  <c r="BK12" i="1"/>
  <c r="BF12" i="1"/>
  <c r="BA12" i="1"/>
  <c r="BA37" i="1" s="1"/>
  <c r="C19" i="1" s="1"/>
  <c r="AV12" i="1"/>
  <c r="AQ12" i="1"/>
  <c r="AL12" i="1"/>
  <c r="AG12" i="1"/>
  <c r="AB12" i="1"/>
  <c r="W12" i="1"/>
  <c r="R12" i="1"/>
  <c r="M12" i="1"/>
  <c r="H12" i="1"/>
  <c r="B12" i="1"/>
  <c r="DX11" i="1"/>
  <c r="DS11" i="1"/>
  <c r="DN11" i="1"/>
  <c r="DI11" i="1"/>
  <c r="DI37" i="1" s="1"/>
  <c r="C31" i="1" s="1"/>
  <c r="DD11" i="1"/>
  <c r="DD37" i="1" s="1"/>
  <c r="C30" i="1" s="1"/>
  <c r="CY11" i="1"/>
  <c r="CT11" i="1"/>
  <c r="CO11" i="1"/>
  <c r="CJ11" i="1"/>
  <c r="CE11" i="1"/>
  <c r="BZ11" i="1"/>
  <c r="BU11" i="1"/>
  <c r="BP11" i="1"/>
  <c r="BK11" i="1"/>
  <c r="BF11" i="1"/>
  <c r="BA11" i="1"/>
  <c r="AV11" i="1"/>
  <c r="AQ11" i="1"/>
  <c r="AL11" i="1"/>
  <c r="AG11" i="1"/>
  <c r="AG37" i="1" s="1"/>
  <c r="C15" i="1" s="1"/>
  <c r="AB11" i="1"/>
  <c r="AB37" i="1" s="1"/>
  <c r="C14" i="1" s="1"/>
  <c r="W11" i="1"/>
  <c r="R11" i="1"/>
  <c r="M11" i="1"/>
  <c r="H11" i="1"/>
  <c r="B11" i="1"/>
  <c r="DX10" i="1"/>
  <c r="DX37" i="1" s="1"/>
  <c r="C34" i="1" s="1"/>
  <c r="DS10" i="1"/>
  <c r="DS37" i="1" s="1"/>
  <c r="C33" i="1" s="1"/>
  <c r="DN10" i="1"/>
  <c r="DN37" i="1" s="1"/>
  <c r="C32" i="1" s="1"/>
  <c r="DI10" i="1"/>
  <c r="DD10" i="1"/>
  <c r="CY10" i="1"/>
  <c r="CY37" i="1" s="1"/>
  <c r="C29" i="1" s="1"/>
  <c r="CT10" i="1"/>
  <c r="CT37" i="1" s="1"/>
  <c r="C28" i="1" s="1"/>
  <c r="CO10" i="1"/>
  <c r="CO37" i="1" s="1"/>
  <c r="C27" i="1" s="1"/>
  <c r="CJ10" i="1"/>
  <c r="CJ37" i="1" s="1"/>
  <c r="C26" i="1" s="1"/>
  <c r="CE10" i="1"/>
  <c r="CE37" i="1" s="1"/>
  <c r="C25" i="1" s="1"/>
  <c r="BZ10" i="1"/>
  <c r="BZ37" i="1" s="1"/>
  <c r="C24" i="1" s="1"/>
  <c r="BU10" i="1"/>
  <c r="BP10" i="1"/>
  <c r="BK10" i="1"/>
  <c r="BK37" i="1" s="1"/>
  <c r="C21" i="1" s="1"/>
  <c r="BF10" i="1"/>
  <c r="BF37" i="1" s="1"/>
  <c r="C20" i="1" s="1"/>
  <c r="BA10" i="1"/>
  <c r="AV10" i="1"/>
  <c r="AV37" i="1" s="1"/>
  <c r="C18" i="1" s="1"/>
  <c r="AQ10" i="1"/>
  <c r="AQ37" i="1" s="1"/>
  <c r="C17" i="1" s="1"/>
  <c r="AL10" i="1"/>
  <c r="AL37" i="1" s="1"/>
  <c r="C16" i="1" s="1"/>
  <c r="AG10" i="1"/>
  <c r="AB10" i="1"/>
  <c r="W10" i="1"/>
  <c r="W37" i="1" s="1"/>
  <c r="C13" i="1" s="1"/>
  <c r="R10" i="1"/>
  <c r="R37" i="1" s="1"/>
  <c r="C12" i="1" s="1"/>
  <c r="M10" i="1"/>
  <c r="M37" i="1" s="1"/>
  <c r="C11" i="1" s="1"/>
  <c r="H10" i="1"/>
  <c r="H37" i="1" s="1"/>
  <c r="C10" i="1" s="1"/>
  <c r="B10" i="1"/>
  <c r="C174" i="1" l="1"/>
  <c r="C175" i="1"/>
  <c r="C176" i="1"/>
  <c r="C67" i="1"/>
  <c r="C128" i="1"/>
  <c r="C167" i="1"/>
  <c r="C183" i="1"/>
  <c r="C169" i="1"/>
  <c r="C168" i="1"/>
  <c r="C184" i="1"/>
  <c r="C182" i="1"/>
  <c r="C37" i="1"/>
  <c r="C7" i="1" s="1"/>
  <c r="C185" i="1"/>
  <c r="C165" i="1"/>
  <c r="C181" i="1"/>
  <c r="C170" i="1"/>
  <c r="C166" i="1"/>
  <c r="C158" i="1"/>
  <c r="C161" i="1"/>
  <c r="C177" i="1"/>
  <c r="C171" i="1"/>
  <c r="C97" i="1"/>
  <c r="C172" i="1"/>
  <c r="C162" i="1"/>
  <c r="C178" i="1"/>
  <c r="C173" i="1"/>
</calcChain>
</file>

<file path=xl/sharedStrings.xml><?xml version="1.0" encoding="utf-8"?>
<sst xmlns="http://schemas.openxmlformats.org/spreadsheetml/2006/main" count="3571" uniqueCount="641">
  <si>
    <t>RINCIAN PERMINTAAN BARANG PER UNIT</t>
  </si>
  <si>
    <t>BULAN SEPTEMBER 2026</t>
  </si>
  <si>
    <t xml:space="preserve">Tanggal </t>
  </si>
  <si>
    <t>Nama  Unit</t>
  </si>
  <si>
    <t>HPP</t>
  </si>
  <si>
    <t>No</t>
  </si>
  <si>
    <t>KASIR</t>
  </si>
  <si>
    <t>IGD</t>
  </si>
  <si>
    <t xml:space="preserve">PENDAFTARAN </t>
  </si>
  <si>
    <t>MADINAH 2</t>
  </si>
  <si>
    <t>PPI</t>
  </si>
  <si>
    <t>FARMASI</t>
  </si>
  <si>
    <t>POLI</t>
  </si>
  <si>
    <t>RADIOLOGI</t>
  </si>
  <si>
    <t>LABORAT</t>
  </si>
  <si>
    <t>OK</t>
  </si>
  <si>
    <t>VK</t>
  </si>
  <si>
    <t>MULTAZAM</t>
  </si>
  <si>
    <t>MARWA</t>
  </si>
  <si>
    <t xml:space="preserve">HK </t>
  </si>
  <si>
    <t>LAUNDRY</t>
  </si>
  <si>
    <t>LOGISTIK</t>
  </si>
  <si>
    <t>ASURANSI</t>
  </si>
  <si>
    <t>FISIOTERAPI</t>
  </si>
  <si>
    <t>AULA</t>
  </si>
  <si>
    <t>PERINA PICU NICU</t>
  </si>
  <si>
    <t>ICU</t>
  </si>
  <si>
    <t>GIZI</t>
  </si>
  <si>
    <t>MADINAH 3</t>
  </si>
  <si>
    <t>AROFAH</t>
  </si>
  <si>
    <t>MADINAH 4</t>
  </si>
  <si>
    <t xml:space="preserve">Nama Barang </t>
  </si>
  <si>
    <t xml:space="preserve">Jumlah Barang </t>
  </si>
  <si>
    <t xml:space="preserve">Harga Satuan </t>
  </si>
  <si>
    <t xml:space="preserve">Harga </t>
  </si>
  <si>
    <t>Harga Satuan</t>
  </si>
  <si>
    <t>Jml Satuan</t>
  </si>
  <si>
    <t>Jml Harga</t>
  </si>
  <si>
    <t>HVS F4</t>
  </si>
  <si>
    <t>amplop besar cetak</t>
  </si>
  <si>
    <t>clip trigonal</t>
  </si>
  <si>
    <t>plastik hitam 40</t>
  </si>
  <si>
    <t>F4</t>
  </si>
  <si>
    <t>isi staples kecil</t>
  </si>
  <si>
    <t>amplop CT scan</t>
  </si>
  <si>
    <t>A4</t>
  </si>
  <si>
    <t>pembersih lantai</t>
  </si>
  <si>
    <t>kresek putih kecil</t>
  </si>
  <si>
    <t>liquid detergen</t>
  </si>
  <si>
    <t>f4</t>
  </si>
  <si>
    <t>kertas potong 2</t>
  </si>
  <si>
    <t>hvs</t>
  </si>
  <si>
    <t>cuci piring pack</t>
  </si>
  <si>
    <t>plastik kuning 80</t>
  </si>
  <si>
    <t>amplop besar</t>
  </si>
  <si>
    <t>flowchart</t>
  </si>
  <si>
    <t>HVS A4</t>
  </si>
  <si>
    <t>tisu kecil</t>
  </si>
  <si>
    <t>tinta epson</t>
  </si>
  <si>
    <t>amplop sedang cetak</t>
  </si>
  <si>
    <t>plastik kuning 40</t>
  </si>
  <si>
    <t>paper fashtener</t>
  </si>
  <si>
    <t>spidol permanen</t>
  </si>
  <si>
    <t>amplop RO</t>
  </si>
  <si>
    <t>soklin</t>
  </si>
  <si>
    <t>pulpen</t>
  </si>
  <si>
    <t>softener</t>
  </si>
  <si>
    <t>double tape</t>
  </si>
  <si>
    <t>tisu besar</t>
  </si>
  <si>
    <t>plastik hitam 80</t>
  </si>
  <si>
    <t>amplop kecil</t>
  </si>
  <si>
    <t xml:space="preserve">penolakan </t>
  </si>
  <si>
    <t>amplop gaji</t>
  </si>
  <si>
    <t>lem cair</t>
  </si>
  <si>
    <t>tas hijau besar</t>
  </si>
  <si>
    <t>fc kartu stok</t>
  </si>
  <si>
    <t>Kertas potong 2</t>
  </si>
  <si>
    <t>kertas foto</t>
  </si>
  <si>
    <t>fc kriteria pasie picu nu</t>
  </si>
  <si>
    <t>tas ijo besar</t>
  </si>
  <si>
    <t>lakban hitam</t>
  </si>
  <si>
    <t>tip ex geser</t>
  </si>
  <si>
    <t>felita</t>
  </si>
  <si>
    <t>tas besar</t>
  </si>
  <si>
    <t>hvs ecer</t>
  </si>
  <si>
    <t xml:space="preserve">persetujuan </t>
  </si>
  <si>
    <t>tas hijau kecil</t>
  </si>
  <si>
    <t>isi staples</t>
  </si>
  <si>
    <t>tas kecil</t>
  </si>
  <si>
    <t>tas ijo kecil</t>
  </si>
  <si>
    <t>handsoap</t>
  </si>
  <si>
    <t>tinta epson yellow 003</t>
  </si>
  <si>
    <t>tisu makan</t>
  </si>
  <si>
    <t>fc dhf</t>
  </si>
  <si>
    <t>keluar roimina</t>
  </si>
  <si>
    <t>baterai termo</t>
  </si>
  <si>
    <t>blanko radiologi</t>
  </si>
  <si>
    <t>fc partograf</t>
  </si>
  <si>
    <t>solasi bening</t>
  </si>
  <si>
    <t>parfume</t>
  </si>
  <si>
    <t xml:space="preserve">sticky note kecil </t>
  </si>
  <si>
    <t>tinta epson 664 semua warna</t>
  </si>
  <si>
    <t>klip triagonal</t>
  </si>
  <si>
    <t>solasi kecil</t>
  </si>
  <si>
    <t>fc konusultasi</t>
  </si>
  <si>
    <t>ews dewasa</t>
  </si>
  <si>
    <t>kertas potong 4</t>
  </si>
  <si>
    <t>sheet protector</t>
  </si>
  <si>
    <t>label barcode</t>
  </si>
  <si>
    <t>blanko laborat</t>
  </si>
  <si>
    <t>tinta epson 664</t>
  </si>
  <si>
    <t>byclean</t>
  </si>
  <si>
    <t>fc monitor dc</t>
  </si>
  <si>
    <t>detergen</t>
  </si>
  <si>
    <t>plastik laundry</t>
  </si>
  <si>
    <t>amplop Besar</t>
  </si>
  <si>
    <t>kertas thermal 80</t>
  </si>
  <si>
    <t>fc retur obat</t>
  </si>
  <si>
    <t>kwitansi kasir</t>
  </si>
  <si>
    <t>fc masuk roi mina</t>
  </si>
  <si>
    <t>status ri</t>
  </si>
  <si>
    <t>fc konsultasi antar dpjp</t>
  </si>
  <si>
    <t>klip trigonal</t>
  </si>
  <si>
    <t>fc skrining case manager</t>
  </si>
  <si>
    <t>form injeksi</t>
  </si>
  <si>
    <t xml:space="preserve">fc aps </t>
  </si>
  <si>
    <t>kapur barus</t>
  </si>
  <si>
    <t>heviklir</t>
  </si>
  <si>
    <t>trigonal</t>
  </si>
  <si>
    <t>permintaan barang</t>
  </si>
  <si>
    <t>fc</t>
  </si>
  <si>
    <t>fc injeksi</t>
  </si>
  <si>
    <t>status rj</t>
  </si>
  <si>
    <t>fc observasi roimina</t>
  </si>
  <si>
    <t xml:space="preserve">resep </t>
  </si>
  <si>
    <t>post it kecil</t>
  </si>
  <si>
    <t>fc pemberian obat</t>
  </si>
  <si>
    <t xml:space="preserve">fc injeksi </t>
  </si>
  <si>
    <t>keset</t>
  </si>
  <si>
    <t>karbol sereh</t>
  </si>
  <si>
    <t>fc berkas form vaksin</t>
  </si>
  <si>
    <t>fc persetujuan tindakan</t>
  </si>
  <si>
    <t>fc observasi roi</t>
  </si>
  <si>
    <t>tinta stempel warna</t>
  </si>
  <si>
    <t>ews anak</t>
  </si>
  <si>
    <t>waslap</t>
  </si>
  <si>
    <t>spidol marker</t>
  </si>
  <si>
    <t>fc ekg</t>
  </si>
  <si>
    <t>fc persetujan</t>
  </si>
  <si>
    <t>karbol</t>
  </si>
  <si>
    <t>blanko alkes</t>
  </si>
  <si>
    <t>fc penolakan</t>
  </si>
  <si>
    <t>buku tulis</t>
  </si>
  <si>
    <t>tinta canon hitam</t>
  </si>
  <si>
    <t>resume medis</t>
  </si>
  <si>
    <t>map usg</t>
  </si>
  <si>
    <t>spido marker</t>
  </si>
  <si>
    <t>a3</t>
  </si>
  <si>
    <t>suket menunggui</t>
  </si>
  <si>
    <t>stella spray</t>
  </si>
  <si>
    <t xml:space="preserve">fc berkas </t>
  </si>
  <si>
    <t>baterai A3</t>
  </si>
  <si>
    <t xml:space="preserve">fc konsultasi </t>
  </si>
  <si>
    <t>fc blanko bon</t>
  </si>
  <si>
    <t>A2</t>
  </si>
  <si>
    <t>fc naik kelas</t>
  </si>
  <si>
    <t>palstik hitam 40</t>
  </si>
  <si>
    <t>cpp rj</t>
  </si>
  <si>
    <t>kanebo</t>
  </si>
  <si>
    <t>tipe x kertas</t>
  </si>
  <si>
    <t>lampu 13 watt</t>
  </si>
  <si>
    <t>WPC</t>
  </si>
  <si>
    <t>Baterai A3</t>
  </si>
  <si>
    <t>isi spidol marker</t>
  </si>
  <si>
    <t>fc register kasir</t>
  </si>
  <si>
    <t>fc mourse fall scale</t>
  </si>
  <si>
    <t>surat kontrol</t>
  </si>
  <si>
    <t>palstik kuning 40</t>
  </si>
  <si>
    <t>fc berkas</t>
  </si>
  <si>
    <t>folio 200</t>
  </si>
  <si>
    <t>form heating set</t>
  </si>
  <si>
    <t>fc clinycal pathway</t>
  </si>
  <si>
    <t>Jerigen</t>
  </si>
  <si>
    <t>fc transfer keluar rs</t>
  </si>
  <si>
    <t>pencil blue red</t>
  </si>
  <si>
    <t>surat pesanan</t>
  </si>
  <si>
    <t>amplop cetak besar</t>
  </si>
  <si>
    <t>fc masuk mina</t>
  </si>
  <si>
    <t>fc permintaan darah</t>
  </si>
  <si>
    <t>staples</t>
  </si>
  <si>
    <t>penggaris</t>
  </si>
  <si>
    <t>form partus set</t>
  </si>
  <si>
    <t>fc monitoring tt</t>
  </si>
  <si>
    <t>suket sakit</t>
  </si>
  <si>
    <t>amplop coklat</t>
  </si>
  <si>
    <t>map kertas</t>
  </si>
  <si>
    <t>fc pasien baru icu</t>
  </si>
  <si>
    <t>A3</t>
  </si>
  <si>
    <t>kwarto 200</t>
  </si>
  <si>
    <t>fc rjp</t>
  </si>
  <si>
    <t>palstik 1 ons</t>
  </si>
  <si>
    <t xml:space="preserve">map plastik </t>
  </si>
  <si>
    <t>batu A2</t>
  </si>
  <si>
    <t>suket ri</t>
  </si>
  <si>
    <t>fc monitoring ambulance</t>
  </si>
  <si>
    <t>atas permintaan pasien</t>
  </si>
  <si>
    <t>spons</t>
  </si>
  <si>
    <t>platsik kuning 80</t>
  </si>
  <si>
    <t>fc casemix</t>
  </si>
  <si>
    <t>fc dnr</t>
  </si>
  <si>
    <t>plastik 2 ons</t>
  </si>
  <si>
    <t>fc ppjp</t>
  </si>
  <si>
    <t>fc observasi</t>
  </si>
  <si>
    <t>Klip Hitam 260</t>
  </si>
  <si>
    <t>form masuk picu nicu</t>
  </si>
  <si>
    <t xml:space="preserve">handsoap </t>
  </si>
  <si>
    <t>tinta epson hitam 003</t>
  </si>
  <si>
    <t>tinta printer 003 hitam</t>
  </si>
  <si>
    <t xml:space="preserve">fc pernyataan permintaan </t>
  </si>
  <si>
    <t>plastik 1/2 kg</t>
  </si>
  <si>
    <t xml:space="preserve">tipe x </t>
  </si>
  <si>
    <t>fc keluar roi</t>
  </si>
  <si>
    <t>fotocopy berkas</t>
  </si>
  <si>
    <t>amplop</t>
  </si>
  <si>
    <t>observasi mina</t>
  </si>
  <si>
    <t>fc bendel op</t>
  </si>
  <si>
    <t>kwitansi gelatik kecil</t>
  </si>
  <si>
    <t>fc budget</t>
  </si>
  <si>
    <t xml:space="preserve">fc transfusi </t>
  </si>
  <si>
    <t>plastik 2 kg 03</t>
  </si>
  <si>
    <t>kwitansi laborat</t>
  </si>
  <si>
    <t>fc bendle op</t>
  </si>
  <si>
    <t>tisu wastafel</t>
  </si>
  <si>
    <t>fc humpty dumpty</t>
  </si>
  <si>
    <t>fc tt penuh</t>
  </si>
  <si>
    <t>folio 100</t>
  </si>
  <si>
    <t>plastik 5 kg 03</t>
  </si>
  <si>
    <t>Epson 664</t>
  </si>
  <si>
    <t>sikat cuci</t>
  </si>
  <si>
    <t>tinta printer 664</t>
  </si>
  <si>
    <t>paket welcome pack vip</t>
  </si>
  <si>
    <t>fc bantu tb</t>
  </si>
  <si>
    <t>tinta epson 003</t>
  </si>
  <si>
    <t>kertas buffalo</t>
  </si>
  <si>
    <t>plastik 1/4 kg</t>
  </si>
  <si>
    <t xml:space="preserve">e-id </t>
  </si>
  <si>
    <t>form retur obat</t>
  </si>
  <si>
    <t>map plastik</t>
  </si>
  <si>
    <t xml:space="preserve"> fc penundaan pelayanan</t>
  </si>
  <si>
    <t>fc monitoring ambulan</t>
  </si>
  <si>
    <t>a2</t>
  </si>
  <si>
    <t>fc register igd</t>
  </si>
  <si>
    <t>post it besar</t>
  </si>
  <si>
    <t>tinta stempel</t>
  </si>
  <si>
    <t>tipe x</t>
  </si>
  <si>
    <t xml:space="preserve">fc berkas   </t>
  </si>
  <si>
    <t xml:space="preserve">tinta stempel </t>
  </si>
  <si>
    <t>label antrian</t>
  </si>
  <si>
    <t xml:space="preserve">pulpen warna </t>
  </si>
  <si>
    <t>persetujuan pindah ruang</t>
  </si>
  <si>
    <t xml:space="preserve">fc persetujuan tindakan </t>
  </si>
  <si>
    <t>fc pernyataan persetujuan</t>
  </si>
  <si>
    <t>bantalan stempel</t>
  </si>
  <si>
    <t>tipe x geser</t>
  </si>
  <si>
    <t>form permintaan barang</t>
  </si>
  <si>
    <t>klip hitam 155</t>
  </si>
  <si>
    <t>penundaan layanan</t>
  </si>
  <si>
    <t>klip 155</t>
  </si>
  <si>
    <t>jerigen</t>
  </si>
  <si>
    <t>baterai bulat</t>
  </si>
  <si>
    <t>bendel OP</t>
  </si>
  <si>
    <t>hemodinamik</t>
  </si>
  <si>
    <t xml:space="preserve">fc keterangan kematian </t>
  </si>
  <si>
    <t>bandel op</t>
  </si>
  <si>
    <t>kertas potong 3</t>
  </si>
  <si>
    <t>lampu 13</t>
  </si>
  <si>
    <t>handuk kecil</t>
  </si>
  <si>
    <t>rekap obat dan alkes</t>
  </si>
  <si>
    <t>form rujuk</t>
  </si>
  <si>
    <t>bendel op</t>
  </si>
  <si>
    <t>fc kontronologi</t>
  </si>
  <si>
    <t>fc permintaan ambulance</t>
  </si>
  <si>
    <t>monitoring asuhan nyeri</t>
  </si>
  <si>
    <t xml:space="preserve">lampu 13 watt </t>
  </si>
  <si>
    <t>apm</t>
  </si>
  <si>
    <t>sticky note besar</t>
  </si>
  <si>
    <t>kabel ties</t>
  </si>
  <si>
    <t>fc hipokalium</t>
  </si>
  <si>
    <t>kertas pot 2</t>
  </si>
  <si>
    <t xml:space="preserve">fc penolakan asuransi </t>
  </si>
  <si>
    <t>persetujuan tindakan</t>
  </si>
  <si>
    <t>FC Hiponatritum</t>
  </si>
  <si>
    <t>Jumlah</t>
  </si>
  <si>
    <t>Total Pengeluaran</t>
  </si>
  <si>
    <t>Handsoap (jerigen)</t>
  </si>
  <si>
    <t>register fisioterpi</t>
  </si>
  <si>
    <t>HVS</t>
  </si>
  <si>
    <t>amplop kecil cetak</t>
  </si>
  <si>
    <t>refill kain pel</t>
  </si>
  <si>
    <t>paper fastener</t>
  </si>
  <si>
    <t>Tisu Kecil</t>
  </si>
  <si>
    <t>lampu 12 watt</t>
  </si>
  <si>
    <t xml:space="preserve">fc kriteria masuk picu nicu </t>
  </si>
  <si>
    <t>gunting</t>
  </si>
  <si>
    <t>cppt rj</t>
  </si>
  <si>
    <t>batu baterai A3</t>
  </si>
  <si>
    <t>detergen kecil</t>
  </si>
  <si>
    <t>bufalo</t>
  </si>
  <si>
    <t>penggaris besi</t>
  </si>
  <si>
    <t>tinta epson hitam</t>
  </si>
  <si>
    <t>register poli</t>
  </si>
  <si>
    <t>pulpen warna warni</t>
  </si>
  <si>
    <t>kwarto 100</t>
  </si>
  <si>
    <t xml:space="preserve">fc penunddaan </t>
  </si>
  <si>
    <t>kertas apm</t>
  </si>
  <si>
    <t xml:space="preserve">fc penundaan layanan </t>
  </si>
  <si>
    <t xml:space="preserve">refill stella </t>
  </si>
  <si>
    <t>fc observasi fibrin</t>
  </si>
  <si>
    <t>resep rj bolak balik</t>
  </si>
  <si>
    <t>map USG</t>
  </si>
  <si>
    <t>ews obsgyn</t>
  </si>
  <si>
    <t>fc post partum</t>
  </si>
  <si>
    <t>stella semprot</t>
  </si>
  <si>
    <t>botol semprotan air</t>
  </si>
  <si>
    <t>box file</t>
  </si>
  <si>
    <t>fc konsul antar dpjp</t>
  </si>
  <si>
    <t>fc monitoring asuhan nyeri</t>
  </si>
  <si>
    <t xml:space="preserve">fc persetujuan </t>
  </si>
  <si>
    <t>fc curb 65</t>
  </si>
  <si>
    <t>fc skrining dari luar rs</t>
  </si>
  <si>
    <t>tinta 664 hitam</t>
  </si>
  <si>
    <t>grenjeng</t>
  </si>
  <si>
    <t>flowchart picu nicu</t>
  </si>
  <si>
    <t>fc rekap kebutuhan obat</t>
  </si>
  <si>
    <t>fc sliding scale</t>
  </si>
  <si>
    <t>form ceklist umum</t>
  </si>
  <si>
    <t>sapu sawang</t>
  </si>
  <si>
    <t>fc pasang ett</t>
  </si>
  <si>
    <t>fc resiko jatuh</t>
  </si>
  <si>
    <t xml:space="preserve">spidol </t>
  </si>
  <si>
    <t>Tisu besar</t>
  </si>
  <si>
    <t>tip ex</t>
  </si>
  <si>
    <t xml:space="preserve">jerigen </t>
  </si>
  <si>
    <t>fc penolakan tindakan</t>
  </si>
  <si>
    <t>fc observasi mina</t>
  </si>
  <si>
    <t xml:space="preserve">tinta epson </t>
  </si>
  <si>
    <t>morse fall scale</t>
  </si>
  <si>
    <t>kontrol rj</t>
  </si>
  <si>
    <t>fc konsul dokter</t>
  </si>
  <si>
    <t>f monitoring ambulance</t>
  </si>
  <si>
    <t>permintaan darah</t>
  </si>
  <si>
    <t>fc checklist masuk roi mina</t>
  </si>
  <si>
    <t>register TPPRI</t>
  </si>
  <si>
    <t>fc heacting set</t>
  </si>
  <si>
    <t>fc keluar rs</t>
  </si>
  <si>
    <t>Amplop Besar Coklat</t>
  </si>
  <si>
    <t>fc permintaan ambulan</t>
  </si>
  <si>
    <t xml:space="preserve">kertas thermal </t>
  </si>
  <si>
    <t>batu A3</t>
  </si>
  <si>
    <t>fpb</t>
  </si>
  <si>
    <t>gayung</t>
  </si>
  <si>
    <t>stella gantung</t>
  </si>
  <si>
    <t xml:space="preserve">tinta 664 </t>
  </si>
  <si>
    <t>deterjen</t>
  </si>
  <si>
    <t>form atas permintaan sendiri</t>
  </si>
  <si>
    <t>fc terapi obat</t>
  </si>
  <si>
    <t xml:space="preserve">fc persetujuan medis </t>
  </si>
  <si>
    <t>KIA</t>
  </si>
  <si>
    <t>flowchart picu nicu perina</t>
  </si>
  <si>
    <t>fc pendaftaran wa</t>
  </si>
  <si>
    <t>plastik 1/2</t>
  </si>
  <si>
    <t>observasi musdalifah</t>
  </si>
  <si>
    <t>keset besar</t>
  </si>
  <si>
    <t>tinta epson 003 hitam</t>
  </si>
  <si>
    <t>fc lembar ido</t>
  </si>
  <si>
    <t>lembar KIA</t>
  </si>
  <si>
    <t xml:space="preserve">gunting </t>
  </si>
  <si>
    <t>solasi  kecil</t>
  </si>
  <si>
    <t>fc lembar budget</t>
  </si>
  <si>
    <t>Surat Pesanan</t>
  </si>
  <si>
    <t>map file</t>
  </si>
  <si>
    <t>klip besar (260)</t>
  </si>
  <si>
    <t>fc resiko tinggi</t>
  </si>
  <si>
    <t>fc akte kelahiran</t>
  </si>
  <si>
    <t xml:space="preserve">hvs </t>
  </si>
  <si>
    <t>tipe x cair</t>
  </si>
  <si>
    <t xml:space="preserve">plastik kuning 80 </t>
  </si>
  <si>
    <t>plastik hitam 80 ecer</t>
  </si>
  <si>
    <t>balnko suket ri</t>
  </si>
  <si>
    <t>klip kecil (155)</t>
  </si>
  <si>
    <t>pensil blured</t>
  </si>
  <si>
    <t>refill stela</t>
  </si>
  <si>
    <t>tinta printer 003</t>
  </si>
  <si>
    <t>fc sleading scale</t>
  </si>
  <si>
    <t>fc kartu stok obat</t>
  </si>
  <si>
    <t>fc persetujuan biaya tindakan</t>
  </si>
  <si>
    <t>penolakan</t>
  </si>
  <si>
    <t>amplop coklat besar</t>
  </si>
  <si>
    <t>tissue meja</t>
  </si>
  <si>
    <t>fc syarat 3x24 jam</t>
  </si>
  <si>
    <t>resep rj</t>
  </si>
  <si>
    <t>fc persetujuan tindakan medis</t>
  </si>
  <si>
    <t>fc aps</t>
  </si>
  <si>
    <t>register ttv</t>
  </si>
  <si>
    <t xml:space="preserve">HVS </t>
  </si>
  <si>
    <t xml:space="preserve">fc akta kelahiran </t>
  </si>
  <si>
    <t>Kwarto 200</t>
  </si>
  <si>
    <t>jerigen besar</t>
  </si>
  <si>
    <t>plastik kresek putih</t>
  </si>
  <si>
    <t>botol sabun</t>
  </si>
  <si>
    <t>fc flowchart</t>
  </si>
  <si>
    <t>tinta printer hitam 003</t>
  </si>
  <si>
    <t>baterai LR41</t>
  </si>
  <si>
    <t>fc lembar obat</t>
  </si>
  <si>
    <t>tinta stempel biru dan merah</t>
  </si>
  <si>
    <t>Plastik Hitam 40</t>
  </si>
  <si>
    <t>flowchart icu</t>
  </si>
  <si>
    <t>pencuci piring (jiregen)</t>
  </si>
  <si>
    <t>Plastik Hitam 80</t>
  </si>
  <si>
    <t>Plastik Kuning 40</t>
  </si>
  <si>
    <t>Tisu Besar</t>
  </si>
  <si>
    <t>Plastik Kuning 80</t>
  </si>
  <si>
    <t>Tissu Besar</t>
  </si>
  <si>
    <t>blanko resep rj</t>
  </si>
  <si>
    <t>fc monitoring dc</t>
  </si>
  <si>
    <t>konsultas antar dpjp</t>
  </si>
  <si>
    <t>stella refil</t>
  </si>
  <si>
    <t xml:space="preserve">fc pemberian obat </t>
  </si>
  <si>
    <t>blanko spri rsns</t>
  </si>
  <si>
    <t>batu baterai A2</t>
  </si>
  <si>
    <t xml:space="preserve">fc persetujuan pindah ruang </t>
  </si>
  <si>
    <t xml:space="preserve">stiker sampah </t>
  </si>
  <si>
    <t>resgister dr made</t>
  </si>
  <si>
    <t>stiker handrub</t>
  </si>
  <si>
    <t>vixal</t>
  </si>
  <si>
    <t>stella aerosol</t>
  </si>
  <si>
    <t xml:space="preserve">tinta printer 664 </t>
  </si>
  <si>
    <t>ceklist masuk picu</t>
  </si>
  <si>
    <t>Pulpen</t>
  </si>
  <si>
    <t>stiker cuci tangan</t>
  </si>
  <si>
    <t xml:space="preserve">tinta printer epson hitam </t>
  </si>
  <si>
    <t>fc transfer pasien keluar rs</t>
  </si>
  <si>
    <t>Baterai A2</t>
  </si>
  <si>
    <t>stella refill</t>
  </si>
  <si>
    <t>Jerigen kosong</t>
  </si>
  <si>
    <t xml:space="preserve">tinta epson 003 </t>
  </si>
  <si>
    <t xml:space="preserve">fc skring case manager </t>
  </si>
  <si>
    <t>pembersih kaca</t>
  </si>
  <si>
    <t xml:space="preserve">bantex </t>
  </si>
  <si>
    <t>injeksi pasien baru</t>
  </si>
  <si>
    <t>transfer keluar rs</t>
  </si>
  <si>
    <t>fc morse falle scale</t>
  </si>
  <si>
    <t>tip  ex</t>
  </si>
  <si>
    <t>sleading scale</t>
  </si>
  <si>
    <t>fc lampiran rujuk kultur</t>
  </si>
  <si>
    <t xml:space="preserve">isi staples </t>
  </si>
  <si>
    <t>masuk picu nicu</t>
  </si>
  <si>
    <t xml:space="preserve">fc pernyataan persetujuan </t>
  </si>
  <si>
    <t xml:space="preserve">fc persetujuan transfusi </t>
  </si>
  <si>
    <t>fc laporan bedah invasif</t>
  </si>
  <si>
    <t>fc lembar roi</t>
  </si>
  <si>
    <t>baterai a3</t>
  </si>
  <si>
    <t xml:space="preserve">keset </t>
  </si>
  <si>
    <t>fc lembar ekg</t>
  </si>
  <si>
    <t>Fc Morbili</t>
  </si>
  <si>
    <t>surat izin menungui</t>
  </si>
  <si>
    <t>fc rujuk kultur</t>
  </si>
  <si>
    <t>fc persetujuan pindah ruang</t>
  </si>
  <si>
    <t>tisu meja</t>
  </si>
  <si>
    <t xml:space="preserve">fc keluar roi </t>
  </si>
  <si>
    <t>pemasangan ETT</t>
  </si>
  <si>
    <t>cp dhf dewasa</t>
  </si>
  <si>
    <t>fc persetujuan transfusi darah</t>
  </si>
  <si>
    <t>tinta 664 magenta</t>
  </si>
  <si>
    <t>fc form SC</t>
  </si>
  <si>
    <t>fc identifikasi bayi</t>
  </si>
  <si>
    <t xml:space="preserve">penggaris </t>
  </si>
  <si>
    <t>handuk besar</t>
  </si>
  <si>
    <t xml:space="preserve">tinta 664 biru </t>
  </si>
  <si>
    <t>staples kecil</t>
  </si>
  <si>
    <t>fc minor set</t>
  </si>
  <si>
    <t>fc cap kaki bayi</t>
  </si>
  <si>
    <t>klip 107</t>
  </si>
  <si>
    <t xml:space="preserve">fc retur </t>
  </si>
  <si>
    <t xml:space="preserve">fc monitoring asuhan nyeri </t>
  </si>
  <si>
    <t xml:space="preserve">tinta 664 kuning </t>
  </si>
  <si>
    <t>kresek putih</t>
  </si>
  <si>
    <t xml:space="preserve">fc lembar retur </t>
  </si>
  <si>
    <t>kwitansi kecil</t>
  </si>
  <si>
    <t>baterai spo 2</t>
  </si>
  <si>
    <t>fc morse fall scale</t>
  </si>
  <si>
    <t>dhf</t>
  </si>
  <si>
    <t>Lampu 12 watt</t>
  </si>
  <si>
    <t>alat pel</t>
  </si>
  <si>
    <t xml:space="preserve">fc kematian </t>
  </si>
  <si>
    <t xml:space="preserve">fc lembar keluar roi </t>
  </si>
  <si>
    <t>kartu stok biasa</t>
  </si>
  <si>
    <t>benang bol</t>
  </si>
  <si>
    <t>bluered</t>
  </si>
  <si>
    <t xml:space="preserve">fc </t>
  </si>
  <si>
    <t>asuhan nyeri</t>
  </si>
  <si>
    <t>fc penundaan tindakan</t>
  </si>
  <si>
    <t>isi spidol permanen</t>
  </si>
  <si>
    <t xml:space="preserve">fc penolakan </t>
  </si>
  <si>
    <t>clear holder 20 pocket</t>
  </si>
  <si>
    <t xml:space="preserve">fc serah terima jenazah </t>
  </si>
  <si>
    <t>sticky note</t>
  </si>
  <si>
    <t>HCU / komite</t>
  </si>
  <si>
    <t>fc serah terima jenasah</t>
  </si>
  <si>
    <t>HVS Warna</t>
  </si>
  <si>
    <t>fc pasien baru diicu</t>
  </si>
  <si>
    <t>fc lembar permintaan konsul</t>
  </si>
  <si>
    <t>paperfastener</t>
  </si>
  <si>
    <t xml:space="preserve">fc skrining manager </t>
  </si>
  <si>
    <t>remover staples</t>
  </si>
  <si>
    <t>fc monitoring hemodinamik</t>
  </si>
  <si>
    <t>batu baterai a3</t>
  </si>
  <si>
    <t>fc clinical pathway</t>
  </si>
  <si>
    <t xml:space="preserve">fc lembar konsul </t>
  </si>
  <si>
    <t>fc ceklis</t>
  </si>
  <si>
    <t>fc biaya pemeriksaan</t>
  </si>
  <si>
    <t>derijen kosong</t>
  </si>
  <si>
    <t xml:space="preserve">fc post partum </t>
  </si>
  <si>
    <t>Fc MPP</t>
  </si>
  <si>
    <t>botol cuci tangan</t>
  </si>
  <si>
    <t>klip besar</t>
  </si>
  <si>
    <t>fc akta</t>
  </si>
  <si>
    <t>tinta printer epson</t>
  </si>
  <si>
    <t>pasien baru diicu</t>
  </si>
  <si>
    <t>ews obgyn</t>
  </si>
  <si>
    <t>sapu lantai</t>
  </si>
  <si>
    <t>remover</t>
  </si>
  <si>
    <t>FC DHF</t>
  </si>
  <si>
    <t>klip hitam kertas</t>
  </si>
  <si>
    <t xml:space="preserve"> A3</t>
  </si>
  <si>
    <t>fc kriteria masuk roi</t>
  </si>
  <si>
    <t>spon</t>
  </si>
  <si>
    <t>fc retur</t>
  </si>
  <si>
    <t xml:space="preserve">fc skoring tb anak </t>
  </si>
  <si>
    <t>botol semprot</t>
  </si>
  <si>
    <t>klip hitam kecil</t>
  </si>
  <si>
    <t>fc form bantu tb</t>
  </si>
  <si>
    <t>ijin menunggui</t>
  </si>
  <si>
    <t>fc bantu tb anak</t>
  </si>
  <si>
    <t>fc pindah ruang</t>
  </si>
  <si>
    <t>ceklist umum</t>
  </si>
  <si>
    <t>spidor marker</t>
  </si>
  <si>
    <t xml:space="preserve">fc skroning tb anak </t>
  </si>
  <si>
    <t xml:space="preserve">fc monitoring roi </t>
  </si>
  <si>
    <t>kwitansi gelatik</t>
  </si>
  <si>
    <t>fc masuk icu</t>
  </si>
  <si>
    <t>tinta stempel ungu</t>
  </si>
  <si>
    <t>gelas kumur</t>
  </si>
  <si>
    <t>bendel rujuk</t>
  </si>
  <si>
    <t>lakban bening</t>
  </si>
  <si>
    <t>kertas bufallo</t>
  </si>
  <si>
    <t>observasi roi anak</t>
  </si>
  <si>
    <t>lakban being</t>
  </si>
  <si>
    <t>rujuk</t>
  </si>
  <si>
    <t>kertas bon</t>
  </si>
  <si>
    <t xml:space="preserve">hvs ecer </t>
  </si>
  <si>
    <t>fc syarat kepolisian</t>
  </si>
  <si>
    <t>dfc bendel op</t>
  </si>
  <si>
    <t>baterai A2</t>
  </si>
  <si>
    <t>fc syarat 3x 24 jam</t>
  </si>
  <si>
    <t>copy resep</t>
  </si>
  <si>
    <t xml:space="preserve">fc identifikasi bayi </t>
  </si>
  <si>
    <t>pensil bluered</t>
  </si>
  <si>
    <t xml:space="preserve">fc transfer keluar </t>
  </si>
  <si>
    <t>fc bantu tb dewasa</t>
  </si>
  <si>
    <t>ribbon</t>
  </si>
  <si>
    <t>ordner</t>
  </si>
  <si>
    <t>tinta 664</t>
  </si>
  <si>
    <t>sheet protector ecer</t>
  </si>
  <si>
    <t xml:space="preserve">papper klip </t>
  </si>
  <si>
    <t>keluar roi</t>
  </si>
  <si>
    <t>boxfile</t>
  </si>
  <si>
    <t>surat rujuk</t>
  </si>
  <si>
    <t>kwitansi cetak kasir</t>
  </si>
  <si>
    <t xml:space="preserve">fc masuk picu nicu </t>
  </si>
  <si>
    <t xml:space="preserve">fc pk1 </t>
  </si>
  <si>
    <t xml:space="preserve">fc casemix </t>
  </si>
  <si>
    <t xml:space="preserve">plastik hitam 80 ecer </t>
  </si>
  <si>
    <t>paket toiletris</t>
  </si>
  <si>
    <t xml:space="preserve">fc obsverasi roi </t>
  </si>
  <si>
    <t>derijen</t>
  </si>
  <si>
    <t>tinta 664 biru</t>
  </si>
  <si>
    <t>plastik kuning 80 ecer</t>
  </si>
  <si>
    <t>fc perstujuan rjp</t>
  </si>
  <si>
    <t>tinta 664 pink</t>
  </si>
  <si>
    <t>lampu 7 watt</t>
  </si>
  <si>
    <t>bantex</t>
  </si>
  <si>
    <t>fc hvs ecer</t>
  </si>
  <si>
    <t>isi spidol permanent</t>
  </si>
  <si>
    <t>cppt ri</t>
  </si>
  <si>
    <t>hvs f4</t>
  </si>
  <si>
    <t xml:space="preserve">fclembar konsultasi </t>
  </si>
  <si>
    <t>fc monitoring roi</t>
  </si>
  <si>
    <t>fc lembar pasang dv</t>
  </si>
  <si>
    <t>fc lembar konsul</t>
  </si>
  <si>
    <t>fc lembar konsultasi</t>
  </si>
  <si>
    <t>fc perstujuan transfusi darah</t>
  </si>
  <si>
    <t xml:space="preserve">fc gds </t>
  </si>
  <si>
    <t xml:space="preserve">fc screaning case manager </t>
  </si>
  <si>
    <t>lem kecil</t>
  </si>
  <si>
    <t>fc pemberian sufor</t>
  </si>
  <si>
    <t>fc kronologi</t>
  </si>
  <si>
    <t>fc onitoring ambulan</t>
  </si>
  <si>
    <t>handuk</t>
  </si>
  <si>
    <t>tinta stempel biru</t>
  </si>
  <si>
    <t>fc masuk roi</t>
  </si>
  <si>
    <t>fc gds</t>
  </si>
  <si>
    <t>f morse fall scale</t>
  </si>
  <si>
    <t>paket sabun</t>
  </si>
  <si>
    <t xml:space="preserve">tinta sempel merah </t>
  </si>
  <si>
    <t>plastik 1/4</t>
  </si>
  <si>
    <t>paperfashtener</t>
  </si>
  <si>
    <t>tinta epson magenta 003</t>
  </si>
  <si>
    <t>fc syarat</t>
  </si>
  <si>
    <t>fc pengajuan barang</t>
  </si>
  <si>
    <t xml:space="preserve">fc skrining case </t>
  </si>
  <si>
    <t>amplop coklat gaji</t>
  </si>
  <si>
    <t xml:space="preserve">fc penundaan </t>
  </si>
  <si>
    <t>kwitansi rsns</t>
  </si>
  <si>
    <t>register igd</t>
  </si>
  <si>
    <t>form ceklis</t>
  </si>
  <si>
    <t>tinta epson blue 003</t>
  </si>
  <si>
    <t>fc lembar dhf</t>
  </si>
  <si>
    <t xml:space="preserve">isi cutter </t>
  </si>
  <si>
    <t>fc ijeksi</t>
  </si>
  <si>
    <t xml:space="preserve">kertas bufallo </t>
  </si>
  <si>
    <t xml:space="preserve">fc permintaan darah </t>
  </si>
  <si>
    <t>plastik linen</t>
  </si>
  <si>
    <t>fc serah terima jenazah</t>
  </si>
  <si>
    <t>solasi besar</t>
  </si>
  <si>
    <t>serti jenazah</t>
  </si>
  <si>
    <t>fc kartu stok tb</t>
  </si>
  <si>
    <t>fc suket kematian</t>
  </si>
  <si>
    <t>fc kertu stok biasa</t>
  </si>
  <si>
    <t>cp iskemik</t>
  </si>
  <si>
    <t>MUSDALIFAH/PICU NICU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</si>
</sst>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\-_);_(@_)"/>
    <numFmt numFmtId="165" formatCode="_-* #,##0_-;\-* #,##0_-;_-* \-_-;_-@_-"/>
    <numFmt numFmtId="166" formatCode="_-&quot;Rp&quot;* #,##0_-;&quot;-Rp&quot;* #,##0_-;_-&quot;Rp&quot;* \-_-;_-@_-"/>
    <numFmt numFmtId="167" formatCode="m/d/yyyy"/>
  </numFmts>
  <fonts count="8" x14ac:knownFonts="1">
    <font>
      <sz val="11"/>
      <color theme="1"/>
      <name val="Calibri"/>
      <family val="2"/>
      <scheme val="minor"/>
    </font>
    <font>
      <b/>
      <sz val="20"/>
      <color rgb="FF000000"/>
      <name val="Times New Roman"/>
      <family val="1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A9D08E"/>
      <name val="Calibri"/>
      <family val="2"/>
      <charset val="1"/>
    </font>
    <font>
      <b/>
      <sz val="11"/>
      <color rgb="FFA9D08E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BDD7EE"/>
        <bgColor rgb="FF99CCFF"/>
      </patternFill>
    </fill>
    <fill>
      <patternFill patternType="solid">
        <fgColor rgb="FFF8CBAD"/>
        <bgColor rgb="FFBDD7EE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5" fontId="2" fillId="0" borderId="0" applyBorder="0" applyProtection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7" fontId="2" fillId="0" borderId="0" xfId="0" applyNumberFormat="1" applyFont="1"/>
    <xf numFmtId="164" fontId="3" fillId="2" borderId="0" xfId="0" applyNumberFormat="1" applyFont="1" applyFill="1"/>
    <xf numFmtId="0" fontId="2" fillId="0" borderId="0" xfId="0" applyFont="1" applyAlignment="1">
      <alignment horizontal="center" vertical="center"/>
    </xf>
    <xf numFmtId="3" fontId="2" fillId="0" borderId="0" xfId="0" applyNumberFormat="1" applyFont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14" fontId="2" fillId="5" borderId="1" xfId="0" applyNumberFormat="1" applyFont="1" applyFill="1" applyBorder="1"/>
    <xf numFmtId="165" fontId="4" fillId="0" borderId="1" xfId="1" applyFont="1" applyBorder="1" applyProtection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165" fontId="4" fillId="0" borderId="1" xfId="1" applyFont="1" applyBorder="1" applyAlignment="1" applyProtection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1" applyNumberFormat="1" applyFont="1" applyBorder="1" applyAlignment="1" applyProtection="1">
      <alignment horizontal="center" vertical="center"/>
    </xf>
    <xf numFmtId="165" fontId="4" fillId="0" borderId="2" xfId="1" applyFont="1" applyBorder="1" applyProtection="1"/>
    <xf numFmtId="3" fontId="2" fillId="0" borderId="1" xfId="0" applyNumberFormat="1" applyFont="1" applyBorder="1"/>
    <xf numFmtId="165" fontId="4" fillId="0" borderId="3" xfId="1" applyFont="1" applyBorder="1" applyProtection="1"/>
    <xf numFmtId="166" fontId="2" fillId="0" borderId="1" xfId="0" applyNumberFormat="1" applyFont="1" applyBorder="1"/>
    <xf numFmtId="0" fontId="4" fillId="0" borderId="1" xfId="1" applyNumberFormat="1" applyFont="1" applyBorder="1" applyAlignment="1" applyProtection="1">
      <alignment horizontal="center"/>
    </xf>
    <xf numFmtId="0" fontId="2" fillId="6" borderId="1" xfId="0" applyFont="1" applyFill="1" applyBorder="1"/>
    <xf numFmtId="165" fontId="5" fillId="6" borderId="1" xfId="1" applyFont="1" applyFill="1" applyBorder="1" applyProtection="1"/>
    <xf numFmtId="0" fontId="5" fillId="6" borderId="1" xfId="0" applyFont="1" applyFill="1" applyBorder="1" applyAlignment="1">
      <alignment horizontal="center"/>
    </xf>
    <xf numFmtId="164" fontId="5" fillId="6" borderId="1" xfId="0" applyNumberFormat="1" applyFont="1" applyFill="1" applyBorder="1"/>
    <xf numFmtId="165" fontId="5" fillId="6" borderId="1" xfId="1" applyFont="1" applyFill="1" applyBorder="1" applyAlignment="1" applyProtection="1">
      <alignment horizontal="center"/>
    </xf>
    <xf numFmtId="0" fontId="5" fillId="6" borderId="2" xfId="0" applyFont="1" applyFill="1" applyBorder="1" applyAlignment="1">
      <alignment horizontal="center"/>
    </xf>
    <xf numFmtId="164" fontId="5" fillId="6" borderId="4" xfId="0" applyNumberFormat="1" applyFont="1" applyFill="1" applyBorder="1"/>
    <xf numFmtId="0" fontId="5" fillId="6" borderId="5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3" fontId="5" fillId="6" borderId="1" xfId="0" applyNumberFormat="1" applyFont="1" applyFill="1" applyBorder="1"/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2" xfId="0" applyFont="1" applyBorder="1"/>
    <xf numFmtId="0" fontId="2" fillId="0" borderId="6" xfId="0" applyFont="1" applyBorder="1"/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wrapText="1"/>
    </xf>
    <xf numFmtId="0" fontId="2" fillId="0" borderId="7" xfId="0" applyFont="1" applyBorder="1"/>
    <xf numFmtId="165" fontId="4" fillId="0" borderId="7" xfId="1" applyFont="1" applyBorder="1" applyProtection="1"/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/>
    <xf numFmtId="0" fontId="2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167" fontId="2" fillId="5" borderId="1" xfId="0" applyNumberFormat="1" applyFont="1" applyFill="1" applyBorder="1"/>
    <xf numFmtId="164" fontId="2" fillId="0" borderId="0" xfId="0" applyNumberFormat="1" applyFont="1"/>
    <xf numFmtId="165" fontId="2" fillId="0" borderId="0" xfId="0" applyNumberFormat="1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5" fillId="0" borderId="0" xfId="0" applyFont="1"/>
  </cellXfs>
  <cellStyles count="2">
    <cellStyle name="Excel Built-in Comma [0]" xfId="1" xr:uid="{6D701491-358C-4BE3-8E14-DCFDA18B423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49A2-1F4A-417E-ABE7-C3CC42303569}">
  <dimension ref="A1:DX186"/>
  <sheetViews>
    <sheetView tabSelected="1" zoomScale="65" zoomScaleNormal="85" workbookViewId="0">
      <selection activeCell="CF42" sqref="CF42"/>
    </sheetView>
  </sheetViews>
  <sheetFormatPr defaultRowHeight="14.4" x14ac:dyDescent="0.3"/>
  <cols>
    <col min="1" max="1" width="12.5546875" customWidth="1"/>
    <col min="2" max="2" width="18.109375" customWidth="1"/>
    <col min="3" max="3" width="12.21875" customWidth="1"/>
    <col min="5" max="5" width="22" customWidth="1"/>
    <col min="10" max="10" width="26.33203125" customWidth="1"/>
    <col min="15" max="15" width="21" customWidth="1"/>
    <col min="18" max="18" width="13.6640625" customWidth="1"/>
    <col min="20" max="20" width="18.77734375" customWidth="1"/>
    <col min="23" max="23" width="14.109375" customWidth="1"/>
    <col min="25" max="25" width="21.77734375" customWidth="1"/>
    <col min="28" max="28" width="12" customWidth="1"/>
    <col min="30" max="30" width="17.6640625" customWidth="1"/>
    <col min="35" max="35" width="20.6640625" customWidth="1"/>
    <col min="40" max="40" width="18" customWidth="1"/>
    <col min="45" max="45" width="23.77734375" customWidth="1"/>
    <col min="50" max="50" width="18" customWidth="1"/>
    <col min="55" max="55" width="17.21875" customWidth="1"/>
    <col min="60" max="60" width="19.21875" customWidth="1"/>
    <col min="65" max="65" width="22.6640625" customWidth="1"/>
    <col min="68" max="68" width="11.88671875" customWidth="1"/>
    <col min="70" max="70" width="18.21875" customWidth="1"/>
    <col min="75" max="75" width="14.6640625" customWidth="1"/>
    <col min="80" max="80" width="21.5546875" customWidth="1"/>
    <col min="85" max="85" width="17.5546875" customWidth="1"/>
    <col min="88" max="88" width="14.21875" customWidth="1"/>
    <col min="90" max="90" width="26.6640625" customWidth="1"/>
    <col min="92" max="92" width="8.88671875" customWidth="1"/>
    <col min="93" max="93" width="12.77734375" customWidth="1"/>
    <col min="95" max="95" width="20.109375" customWidth="1"/>
    <col min="100" max="100" width="23.77734375" customWidth="1"/>
    <col min="105" max="105" width="21.21875" customWidth="1"/>
    <col min="110" max="110" width="23.21875" customWidth="1"/>
    <col min="115" max="115" width="21.5546875" customWidth="1"/>
    <col min="118" max="118" width="15" customWidth="1"/>
    <col min="120" max="120" width="18.6640625" customWidth="1"/>
    <col min="125" max="125" width="15.33203125" customWidth="1"/>
  </cols>
  <sheetData>
    <row r="1" spans="1:128" s="2" customFormat="1" ht="1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128" s="2" customFormat="1" ht="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128" s="2" customFormat="1" ht="16.5" customHeight="1" x14ac:dyDescent="0.4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T3" s="3"/>
      <c r="Y3" s="1"/>
      <c r="Z3" s="1"/>
      <c r="AA3" s="1"/>
      <c r="AB3" s="1"/>
      <c r="AC3" s="1"/>
      <c r="AD3" s="1"/>
    </row>
    <row r="4" spans="1:128" s="2" customForma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S4" s="3"/>
    </row>
    <row r="5" spans="1:128" s="2" customFormat="1" x14ac:dyDescent="0.3"/>
    <row r="6" spans="1:128" s="2" customFormat="1" x14ac:dyDescent="0.3"/>
    <row r="7" spans="1:128" s="2" customFormat="1" x14ac:dyDescent="0.3">
      <c r="C7" s="4">
        <f>C37+C67+C97+C128+C158+C188</f>
        <v>9268850</v>
      </c>
      <c r="D7" s="5"/>
      <c r="E7" s="6"/>
      <c r="F7" s="5"/>
      <c r="G7" s="5"/>
      <c r="N7" s="5"/>
      <c r="AJ7" s="5"/>
      <c r="BD7" s="5"/>
      <c r="BE7" s="5"/>
    </row>
    <row r="8" spans="1:128" s="2" customFormat="1" ht="15" customHeight="1" x14ac:dyDescent="0.3">
      <c r="A8" s="7" t="s">
        <v>2</v>
      </c>
      <c r="B8" s="8" t="s">
        <v>3</v>
      </c>
      <c r="C8" s="9" t="s">
        <v>4</v>
      </c>
      <c r="D8" s="7" t="s">
        <v>5</v>
      </c>
      <c r="E8" s="10" t="s">
        <v>6</v>
      </c>
      <c r="F8" s="10"/>
      <c r="G8" s="10"/>
      <c r="H8" s="10"/>
      <c r="I8" s="7" t="s">
        <v>5</v>
      </c>
      <c r="J8" s="10" t="s">
        <v>7</v>
      </c>
      <c r="K8" s="10"/>
      <c r="L8" s="10"/>
      <c r="M8" s="10"/>
      <c r="N8" s="7"/>
      <c r="O8" s="10" t="s">
        <v>8</v>
      </c>
      <c r="P8" s="10"/>
      <c r="Q8" s="10"/>
      <c r="R8" s="10"/>
      <c r="S8" s="7" t="s">
        <v>5</v>
      </c>
      <c r="T8" s="10" t="s">
        <v>9</v>
      </c>
      <c r="U8" s="10"/>
      <c r="V8" s="10"/>
      <c r="W8" s="10"/>
      <c r="X8" s="7" t="s">
        <v>5</v>
      </c>
      <c r="Y8" s="10" t="s">
        <v>10</v>
      </c>
      <c r="Z8" s="10"/>
      <c r="AA8" s="10"/>
      <c r="AB8" s="10"/>
      <c r="AC8" s="7" t="s">
        <v>5</v>
      </c>
      <c r="AD8" s="10" t="s">
        <v>11</v>
      </c>
      <c r="AE8" s="10"/>
      <c r="AF8" s="10"/>
      <c r="AG8" s="10"/>
      <c r="AH8" s="7" t="s">
        <v>5</v>
      </c>
      <c r="AI8" s="10" t="s">
        <v>12</v>
      </c>
      <c r="AJ8" s="10"/>
      <c r="AK8" s="10"/>
      <c r="AL8" s="10"/>
      <c r="AM8" s="7" t="s">
        <v>5</v>
      </c>
      <c r="AN8" s="10" t="s">
        <v>13</v>
      </c>
      <c r="AO8" s="10"/>
      <c r="AP8" s="10"/>
      <c r="AQ8" s="10"/>
      <c r="AR8" s="7" t="s">
        <v>5</v>
      </c>
      <c r="AS8" s="10" t="s">
        <v>14</v>
      </c>
      <c r="AT8" s="10"/>
      <c r="AU8" s="10"/>
      <c r="AV8" s="10"/>
      <c r="AW8" s="7" t="s">
        <v>5</v>
      </c>
      <c r="AX8" s="10" t="s">
        <v>15</v>
      </c>
      <c r="AY8" s="10"/>
      <c r="AZ8" s="10"/>
      <c r="BA8" s="10"/>
      <c r="BB8" s="7" t="s">
        <v>5</v>
      </c>
      <c r="BC8" s="10" t="s">
        <v>16</v>
      </c>
      <c r="BD8" s="10"/>
      <c r="BE8" s="10"/>
      <c r="BF8" s="10"/>
      <c r="BG8" s="7" t="s">
        <v>5</v>
      </c>
      <c r="BH8" s="10" t="s">
        <v>17</v>
      </c>
      <c r="BI8" s="10"/>
      <c r="BJ8" s="10"/>
      <c r="BK8" s="10"/>
      <c r="BL8" s="7" t="s">
        <v>5</v>
      </c>
      <c r="BM8" s="10" t="s">
        <v>18</v>
      </c>
      <c r="BN8" s="10"/>
      <c r="BO8" s="10"/>
      <c r="BP8" s="10"/>
      <c r="BQ8" s="7" t="s">
        <v>5</v>
      </c>
      <c r="BR8" s="10" t="s">
        <v>19</v>
      </c>
      <c r="BS8" s="10"/>
      <c r="BT8" s="10"/>
      <c r="BU8" s="10"/>
      <c r="BV8" s="7" t="s">
        <v>5</v>
      </c>
      <c r="BW8" s="10" t="s">
        <v>20</v>
      </c>
      <c r="BX8" s="10"/>
      <c r="BY8" s="10"/>
      <c r="BZ8" s="10"/>
      <c r="CA8" s="7" t="s">
        <v>5</v>
      </c>
      <c r="CB8" s="10" t="s">
        <v>21</v>
      </c>
      <c r="CC8" s="10"/>
      <c r="CD8" s="10"/>
      <c r="CE8" s="10"/>
      <c r="CF8" s="7" t="s">
        <v>5</v>
      </c>
      <c r="CG8" s="10" t="s">
        <v>22</v>
      </c>
      <c r="CH8" s="10"/>
      <c r="CI8" s="10"/>
      <c r="CJ8" s="10"/>
      <c r="CK8" s="7" t="s">
        <v>5</v>
      </c>
      <c r="CL8" s="10" t="s">
        <v>23</v>
      </c>
      <c r="CM8" s="10"/>
      <c r="CN8" s="10"/>
      <c r="CO8" s="10"/>
      <c r="CP8" s="7" t="s">
        <v>5</v>
      </c>
      <c r="CQ8" s="10" t="s">
        <v>24</v>
      </c>
      <c r="CR8" s="10"/>
      <c r="CS8" s="10"/>
      <c r="CT8" s="10"/>
      <c r="CU8" s="7" t="s">
        <v>5</v>
      </c>
      <c r="CV8" s="10" t="s">
        <v>25</v>
      </c>
      <c r="CW8" s="10"/>
      <c r="CX8" s="10"/>
      <c r="CY8" s="10"/>
      <c r="CZ8" s="7" t="s">
        <v>5</v>
      </c>
      <c r="DA8" s="10" t="s">
        <v>26</v>
      </c>
      <c r="DB8" s="10"/>
      <c r="DC8" s="10"/>
      <c r="DD8" s="10"/>
      <c r="DE8" s="7" t="s">
        <v>5</v>
      </c>
      <c r="DF8" s="10" t="s">
        <v>27</v>
      </c>
      <c r="DG8" s="10"/>
      <c r="DH8" s="10"/>
      <c r="DI8" s="10"/>
      <c r="DJ8" s="7" t="s">
        <v>5</v>
      </c>
      <c r="DK8" s="10" t="s">
        <v>28</v>
      </c>
      <c r="DL8" s="10"/>
      <c r="DM8" s="10"/>
      <c r="DN8" s="10"/>
      <c r="DO8" s="7" t="s">
        <v>5</v>
      </c>
      <c r="DP8" s="10" t="s">
        <v>29</v>
      </c>
      <c r="DQ8" s="10"/>
      <c r="DR8" s="10"/>
      <c r="DS8" s="10"/>
      <c r="DT8" s="7" t="s">
        <v>5</v>
      </c>
      <c r="DU8" s="10" t="s">
        <v>30</v>
      </c>
      <c r="DV8" s="10"/>
      <c r="DW8" s="10"/>
      <c r="DX8" s="10"/>
    </row>
    <row r="9" spans="1:128" s="5" customFormat="1" ht="28.8" x14ac:dyDescent="0.3">
      <c r="A9" s="7"/>
      <c r="B9" s="8"/>
      <c r="C9" s="9"/>
      <c r="D9" s="7"/>
      <c r="E9" s="11" t="s">
        <v>31</v>
      </c>
      <c r="F9" s="12" t="s">
        <v>32</v>
      </c>
      <c r="G9" s="12" t="s">
        <v>33</v>
      </c>
      <c r="H9" s="13" t="s">
        <v>34</v>
      </c>
      <c r="I9" s="7"/>
      <c r="J9" s="11" t="s">
        <v>31</v>
      </c>
      <c r="K9" s="14" t="s">
        <v>32</v>
      </c>
      <c r="L9" s="14" t="s">
        <v>33</v>
      </c>
      <c r="M9" s="13" t="s">
        <v>34</v>
      </c>
      <c r="N9" s="7"/>
      <c r="O9" s="13" t="s">
        <v>31</v>
      </c>
      <c r="P9" s="14" t="s">
        <v>32</v>
      </c>
      <c r="Q9" s="14" t="s">
        <v>33</v>
      </c>
      <c r="R9" s="13" t="s">
        <v>34</v>
      </c>
      <c r="S9" s="7"/>
      <c r="T9" s="13" t="s">
        <v>31</v>
      </c>
      <c r="U9" s="14" t="s">
        <v>32</v>
      </c>
      <c r="V9" s="14" t="s">
        <v>35</v>
      </c>
      <c r="W9" s="13" t="s">
        <v>34</v>
      </c>
      <c r="X9" s="7"/>
      <c r="Y9" s="13" t="s">
        <v>31</v>
      </c>
      <c r="Z9" s="14" t="s">
        <v>32</v>
      </c>
      <c r="AA9" s="14" t="s">
        <v>35</v>
      </c>
      <c r="AB9" s="13" t="s">
        <v>34</v>
      </c>
      <c r="AC9" s="7"/>
      <c r="AD9" s="13" t="s">
        <v>31</v>
      </c>
      <c r="AE9" s="14" t="s">
        <v>32</v>
      </c>
      <c r="AF9" s="14" t="s">
        <v>35</v>
      </c>
      <c r="AG9" s="12" t="s">
        <v>36</v>
      </c>
      <c r="AH9" s="7"/>
      <c r="AI9" s="13" t="s">
        <v>31</v>
      </c>
      <c r="AJ9" s="12" t="s">
        <v>32</v>
      </c>
      <c r="AK9" s="14" t="s">
        <v>35</v>
      </c>
      <c r="AL9" s="13" t="s">
        <v>34</v>
      </c>
      <c r="AM9" s="7"/>
      <c r="AN9" s="13" t="s">
        <v>31</v>
      </c>
      <c r="AO9" s="14" t="s">
        <v>32</v>
      </c>
      <c r="AP9" s="14" t="s">
        <v>33</v>
      </c>
      <c r="AQ9" s="13" t="s">
        <v>36</v>
      </c>
      <c r="AR9" s="7"/>
      <c r="AS9" s="13" t="s">
        <v>31</v>
      </c>
      <c r="AT9" s="14" t="s">
        <v>32</v>
      </c>
      <c r="AU9" s="14" t="s">
        <v>35</v>
      </c>
      <c r="AV9" s="12" t="s">
        <v>36</v>
      </c>
      <c r="AW9" s="7"/>
      <c r="AX9" s="13" t="s">
        <v>31</v>
      </c>
      <c r="AY9" s="14" t="s">
        <v>32</v>
      </c>
      <c r="AZ9" s="14" t="s">
        <v>35</v>
      </c>
      <c r="BA9" s="13" t="s">
        <v>34</v>
      </c>
      <c r="BB9" s="7"/>
      <c r="BC9" s="13" t="s">
        <v>31</v>
      </c>
      <c r="BD9" s="12" t="s">
        <v>32</v>
      </c>
      <c r="BE9" s="12"/>
      <c r="BF9" s="13" t="s">
        <v>34</v>
      </c>
      <c r="BG9" s="7"/>
      <c r="BH9" s="13" t="s">
        <v>31</v>
      </c>
      <c r="BI9" s="14" t="s">
        <v>32</v>
      </c>
      <c r="BJ9" s="14"/>
      <c r="BK9" s="13" t="s">
        <v>34</v>
      </c>
      <c r="BL9" s="7"/>
      <c r="BM9" s="13" t="s">
        <v>31</v>
      </c>
      <c r="BN9" s="14" t="s">
        <v>32</v>
      </c>
      <c r="BO9" s="14" t="s">
        <v>35</v>
      </c>
      <c r="BP9" s="13" t="s">
        <v>34</v>
      </c>
      <c r="BQ9" s="7"/>
      <c r="BR9" s="13" t="s">
        <v>31</v>
      </c>
      <c r="BS9" s="14" t="s">
        <v>32</v>
      </c>
      <c r="BT9" s="14" t="s">
        <v>33</v>
      </c>
      <c r="BU9" s="13" t="s">
        <v>34</v>
      </c>
      <c r="BV9" s="7"/>
      <c r="BW9" s="13" t="s">
        <v>31</v>
      </c>
      <c r="BX9" s="14" t="s">
        <v>32</v>
      </c>
      <c r="BY9" s="14" t="s">
        <v>35</v>
      </c>
      <c r="BZ9" s="13" t="s">
        <v>34</v>
      </c>
      <c r="CA9" s="7"/>
      <c r="CB9" s="13" t="s">
        <v>31</v>
      </c>
      <c r="CC9" s="14" t="s">
        <v>32</v>
      </c>
      <c r="CD9" s="14" t="s">
        <v>33</v>
      </c>
      <c r="CE9" s="13" t="s">
        <v>34</v>
      </c>
      <c r="CF9" s="7"/>
      <c r="CG9" s="13" t="s">
        <v>31</v>
      </c>
      <c r="CH9" s="14" t="s">
        <v>32</v>
      </c>
      <c r="CI9" s="14" t="s">
        <v>35</v>
      </c>
      <c r="CJ9" s="13" t="s">
        <v>37</v>
      </c>
      <c r="CK9" s="7"/>
      <c r="CL9" s="13" t="s">
        <v>31</v>
      </c>
      <c r="CM9" s="12" t="s">
        <v>32</v>
      </c>
      <c r="CN9" s="12" t="s">
        <v>35</v>
      </c>
      <c r="CO9" s="13" t="s">
        <v>37</v>
      </c>
      <c r="CP9" s="7"/>
      <c r="CQ9" s="13" t="s">
        <v>31</v>
      </c>
      <c r="CR9" s="12" t="s">
        <v>32</v>
      </c>
      <c r="CS9" s="12" t="s">
        <v>35</v>
      </c>
      <c r="CT9" s="13" t="s">
        <v>37</v>
      </c>
      <c r="CU9" s="7"/>
      <c r="CV9" s="13" t="s">
        <v>31</v>
      </c>
      <c r="CW9" s="12" t="s">
        <v>32</v>
      </c>
      <c r="CX9" s="12" t="s">
        <v>35</v>
      </c>
      <c r="CY9" s="13" t="s">
        <v>37</v>
      </c>
      <c r="CZ9" s="7"/>
      <c r="DA9" s="13" t="s">
        <v>31</v>
      </c>
      <c r="DB9" s="12" t="s">
        <v>32</v>
      </c>
      <c r="DC9" s="12" t="s">
        <v>35</v>
      </c>
      <c r="DD9" s="13" t="s">
        <v>37</v>
      </c>
      <c r="DE9" s="7"/>
      <c r="DF9" s="13" t="s">
        <v>31</v>
      </c>
      <c r="DG9" s="12" t="s">
        <v>32</v>
      </c>
      <c r="DH9" s="12" t="s">
        <v>35</v>
      </c>
      <c r="DI9" s="13" t="s">
        <v>37</v>
      </c>
      <c r="DJ9" s="7"/>
      <c r="DK9" s="13" t="s">
        <v>31</v>
      </c>
      <c r="DL9" s="12" t="s">
        <v>32</v>
      </c>
      <c r="DM9" s="12" t="s">
        <v>35</v>
      </c>
      <c r="DN9" s="13" t="s">
        <v>37</v>
      </c>
      <c r="DO9" s="7"/>
      <c r="DP9" s="13" t="s">
        <v>31</v>
      </c>
      <c r="DQ9" s="12" t="s">
        <v>32</v>
      </c>
      <c r="DR9" s="12" t="s">
        <v>35</v>
      </c>
      <c r="DS9" s="13" t="s">
        <v>37</v>
      </c>
      <c r="DT9" s="7"/>
      <c r="DU9" s="13" t="s">
        <v>31</v>
      </c>
      <c r="DV9" s="12" t="s">
        <v>32</v>
      </c>
      <c r="DW9" s="12" t="s">
        <v>35</v>
      </c>
      <c r="DX9" s="13" t="s">
        <v>37</v>
      </c>
    </row>
    <row r="10" spans="1:128" s="2" customFormat="1" x14ac:dyDescent="0.3">
      <c r="A10" s="15">
        <v>46265</v>
      </c>
      <c r="B10" s="16" t="str">
        <f>E8</f>
        <v>KASIR</v>
      </c>
      <c r="C10" s="16">
        <f>H37</f>
        <v>0</v>
      </c>
      <c r="D10" s="17"/>
      <c r="E10" s="18" t="s">
        <v>38</v>
      </c>
      <c r="F10" s="17"/>
      <c r="G10" s="17">
        <v>50000</v>
      </c>
      <c r="H10" s="16">
        <f t="shared" ref="H10:H36" si="0">SUM(F10*G10)</f>
        <v>0</v>
      </c>
      <c r="I10" s="19"/>
      <c r="J10" s="16" t="s">
        <v>39</v>
      </c>
      <c r="K10" s="19"/>
      <c r="L10" s="16">
        <v>450</v>
      </c>
      <c r="M10" s="16">
        <f t="shared" ref="M10:M36" si="1">SUM(K10*L10)</f>
        <v>0</v>
      </c>
      <c r="N10" s="17"/>
      <c r="O10" s="20" t="s">
        <v>40</v>
      </c>
      <c r="P10" s="21"/>
      <c r="Q10" s="19">
        <v>2000</v>
      </c>
      <c r="R10" s="16">
        <f t="shared" ref="R10:R36" si="2">SUM(P10*Q10)</f>
        <v>0</v>
      </c>
      <c r="S10" s="20"/>
      <c r="T10" s="20" t="s">
        <v>39</v>
      </c>
      <c r="U10" s="20"/>
      <c r="V10" s="16">
        <v>450</v>
      </c>
      <c r="W10" s="16">
        <f t="shared" ref="W10:W36" si="3">SUM(U10*V10)</f>
        <v>0</v>
      </c>
      <c r="X10" s="16"/>
      <c r="Y10" s="16" t="s">
        <v>41</v>
      </c>
      <c r="Z10" s="16">
        <v>7</v>
      </c>
      <c r="AA10" s="16">
        <v>28000</v>
      </c>
      <c r="AB10" s="16">
        <f>SUM(Z10*AA10)</f>
        <v>196000</v>
      </c>
      <c r="AC10" s="20"/>
      <c r="AD10" s="16" t="s">
        <v>42</v>
      </c>
      <c r="AE10" s="16"/>
      <c r="AF10" s="16">
        <v>50000</v>
      </c>
      <c r="AG10" s="16">
        <f t="shared" ref="AG10:AG36" si="4">SUM(AE10*AF10)</f>
        <v>0</v>
      </c>
      <c r="AH10" s="16"/>
      <c r="AI10" s="16" t="s">
        <v>43</v>
      </c>
      <c r="AJ10" s="22"/>
      <c r="AK10" s="19">
        <v>1550</v>
      </c>
      <c r="AL10" s="16">
        <f t="shared" ref="AL10:AL36" si="5">SUM(AJ10*AK10)</f>
        <v>0</v>
      </c>
      <c r="AM10" s="16"/>
      <c r="AN10" s="20" t="s">
        <v>44</v>
      </c>
      <c r="AO10" s="20"/>
      <c r="AP10" s="20">
        <v>8000</v>
      </c>
      <c r="AQ10" s="16">
        <f t="shared" ref="AQ10:AQ36" si="6">SUM(AO10*AP10)</f>
        <v>0</v>
      </c>
      <c r="AR10" s="16"/>
      <c r="AS10" s="16" t="s">
        <v>45</v>
      </c>
      <c r="AT10" s="16">
        <v>2</v>
      </c>
      <c r="AU10" s="16">
        <v>46500</v>
      </c>
      <c r="AV10" s="16">
        <f t="shared" ref="AV10:AV36" si="7">SUM(AT10*AU10)</f>
        <v>93000</v>
      </c>
      <c r="AW10" s="16"/>
      <c r="AX10" s="16" t="s">
        <v>46</v>
      </c>
      <c r="AY10" s="16"/>
      <c r="AZ10" s="16">
        <v>14000</v>
      </c>
      <c r="BA10" s="16">
        <f t="shared" ref="BA10:BA36" si="8">SUM(AY10*AZ10)</f>
        <v>0</v>
      </c>
      <c r="BB10" s="20"/>
      <c r="BC10" s="20" t="s">
        <v>47</v>
      </c>
      <c r="BD10" s="20"/>
      <c r="BE10" s="16">
        <v>4400</v>
      </c>
      <c r="BF10" s="16">
        <f t="shared" ref="BF10:BF36" si="9">SUM(BD10*BE10)</f>
        <v>0</v>
      </c>
      <c r="BG10" s="20"/>
      <c r="BH10" s="20" t="s">
        <v>39</v>
      </c>
      <c r="BI10" s="20">
        <v>20</v>
      </c>
      <c r="BJ10" s="20">
        <v>450</v>
      </c>
      <c r="BK10" s="16">
        <f t="shared" ref="BK10:BK36" si="10">SUM(BI10*BJ10)</f>
        <v>9000</v>
      </c>
      <c r="BL10" s="16"/>
      <c r="BM10" s="16" t="s">
        <v>39</v>
      </c>
      <c r="BN10" s="16">
        <v>15</v>
      </c>
      <c r="BO10" s="16">
        <v>450</v>
      </c>
      <c r="BP10" s="16">
        <f t="shared" ref="BP10:BP36" si="11">SUM(BN10*BO10)</f>
        <v>6750</v>
      </c>
      <c r="BQ10" s="16"/>
      <c r="BR10" s="16" t="s">
        <v>46</v>
      </c>
      <c r="BS10" s="16"/>
      <c r="BT10" s="16">
        <v>11200</v>
      </c>
      <c r="BU10" s="16">
        <f t="shared" ref="BU10:BU36" si="12">SUM(BS10*BT10)</f>
        <v>0</v>
      </c>
      <c r="BV10" s="16"/>
      <c r="BW10" s="16" t="s">
        <v>48</v>
      </c>
      <c r="BX10" s="19">
        <v>2</v>
      </c>
      <c r="BY10" s="16">
        <v>99750</v>
      </c>
      <c r="BZ10" s="20">
        <f t="shared" ref="BZ10:BZ36" si="13">BY10*BX10</f>
        <v>199500</v>
      </c>
      <c r="CA10" s="16">
        <v>1</v>
      </c>
      <c r="CB10" s="16" t="s">
        <v>49</v>
      </c>
      <c r="CC10" s="16"/>
      <c r="CD10" s="16">
        <v>50000</v>
      </c>
      <c r="CE10" s="16">
        <f t="shared" ref="CE10:CE36" si="14">SUM(CC10*CD10)</f>
        <v>0</v>
      </c>
      <c r="CF10" s="16">
        <v>1</v>
      </c>
      <c r="CG10" s="16" t="s">
        <v>49</v>
      </c>
      <c r="CH10" s="16"/>
      <c r="CI10" s="23">
        <v>50000</v>
      </c>
      <c r="CJ10" s="23">
        <f t="shared" ref="CJ10:CJ36" si="15">SUM(CH10*CI10)</f>
        <v>0</v>
      </c>
      <c r="CK10" s="20"/>
      <c r="CL10" s="20" t="s">
        <v>50</v>
      </c>
      <c r="CM10" s="20">
        <v>6</v>
      </c>
      <c r="CN10" s="20">
        <v>26500</v>
      </c>
      <c r="CO10" s="23">
        <f t="shared" ref="CO10:CO36" si="16">SUM(CM10*CN10)</f>
        <v>159000</v>
      </c>
      <c r="CP10" s="16"/>
      <c r="CQ10" s="16" t="s">
        <v>42</v>
      </c>
      <c r="CR10" s="16">
        <v>1</v>
      </c>
      <c r="CS10" s="16">
        <v>50000</v>
      </c>
      <c r="CT10" s="23">
        <f t="shared" ref="CT10:CT36" si="17">SUM(CR10*CS10)</f>
        <v>50000</v>
      </c>
      <c r="CU10" s="20"/>
      <c r="CV10" s="20" t="s">
        <v>51</v>
      </c>
      <c r="CW10" s="20"/>
      <c r="CX10" s="20">
        <v>100</v>
      </c>
      <c r="CY10" s="23">
        <f t="shared" ref="CY10:CY36" si="18">SUM(CW10*CX10)</f>
        <v>0</v>
      </c>
      <c r="CZ10" s="20"/>
      <c r="DA10" s="16" t="s">
        <v>39</v>
      </c>
      <c r="DB10" s="16"/>
      <c r="DC10" s="16">
        <v>450</v>
      </c>
      <c r="DD10" s="23">
        <f t="shared" ref="DD10:DD23" si="19">SUM(DB10*DC10)</f>
        <v>0</v>
      </c>
      <c r="DE10" s="16">
        <v>1</v>
      </c>
      <c r="DF10" s="16" t="s">
        <v>52</v>
      </c>
      <c r="DG10" s="16">
        <v>7</v>
      </c>
      <c r="DH10" s="16">
        <v>7500</v>
      </c>
      <c r="DI10" s="16">
        <f t="shared" ref="DI10:DI36" si="20">SUM(DG10*DH10)</f>
        <v>52500</v>
      </c>
      <c r="DJ10" s="20"/>
      <c r="DK10" s="20" t="s">
        <v>53</v>
      </c>
      <c r="DL10" s="20"/>
      <c r="DM10" s="20">
        <v>1000</v>
      </c>
      <c r="DN10" s="16">
        <f t="shared" ref="DN10:DN36" si="21">SUM(DL10*DM10)</f>
        <v>0</v>
      </c>
      <c r="DO10" s="20"/>
      <c r="DP10" s="20" t="s">
        <v>54</v>
      </c>
      <c r="DQ10" s="20">
        <v>10</v>
      </c>
      <c r="DR10" s="20">
        <v>450</v>
      </c>
      <c r="DS10" s="16">
        <f t="shared" ref="DS10:DS36" si="22">SUM(DQ10*DR10)</f>
        <v>4500</v>
      </c>
      <c r="DT10" s="20"/>
      <c r="DU10" s="20" t="s">
        <v>55</v>
      </c>
      <c r="DV10" s="20">
        <v>10</v>
      </c>
      <c r="DW10" s="20">
        <v>1000</v>
      </c>
      <c r="DX10" s="24">
        <f t="shared" ref="DX10:DX36" si="23">DW10*DV10</f>
        <v>10000</v>
      </c>
    </row>
    <row r="11" spans="1:128" s="2" customFormat="1" x14ac:dyDescent="0.3">
      <c r="A11" s="20"/>
      <c r="B11" s="16" t="str">
        <f>J8</f>
        <v>IGD</v>
      </c>
      <c r="C11" s="16">
        <f>M37</f>
        <v>128600</v>
      </c>
      <c r="D11" s="17"/>
      <c r="E11" s="20" t="s">
        <v>56</v>
      </c>
      <c r="F11" s="17"/>
      <c r="G11" s="17">
        <v>46500</v>
      </c>
      <c r="H11" s="16">
        <f t="shared" si="0"/>
        <v>0</v>
      </c>
      <c r="I11" s="19"/>
      <c r="J11" s="20" t="s">
        <v>57</v>
      </c>
      <c r="K11" s="20">
        <v>2</v>
      </c>
      <c r="L11" s="16">
        <v>4000</v>
      </c>
      <c r="M11" s="16">
        <f t="shared" si="1"/>
        <v>8000</v>
      </c>
      <c r="N11" s="17"/>
      <c r="O11" s="20" t="s">
        <v>58</v>
      </c>
      <c r="P11" s="21"/>
      <c r="Q11" s="19">
        <v>85000</v>
      </c>
      <c r="R11" s="16">
        <f t="shared" si="2"/>
        <v>0</v>
      </c>
      <c r="S11" s="20"/>
      <c r="T11" s="20" t="s">
        <v>59</v>
      </c>
      <c r="U11" s="20"/>
      <c r="V11" s="20">
        <v>350</v>
      </c>
      <c r="W11" s="16">
        <f t="shared" si="3"/>
        <v>0</v>
      </c>
      <c r="X11" s="16"/>
      <c r="Y11" s="16" t="s">
        <v>60</v>
      </c>
      <c r="Z11" s="16">
        <v>7</v>
      </c>
      <c r="AA11" s="16">
        <v>39000</v>
      </c>
      <c r="AB11" s="16">
        <f t="shared" ref="AB11:AB36" si="24">SUM(Z11*AA11)</f>
        <v>273000</v>
      </c>
      <c r="AC11" s="20"/>
      <c r="AD11" s="20" t="s">
        <v>61</v>
      </c>
      <c r="AE11" s="20"/>
      <c r="AF11" s="16">
        <v>5000</v>
      </c>
      <c r="AG11" s="16">
        <f t="shared" si="4"/>
        <v>0</v>
      </c>
      <c r="AH11" s="16"/>
      <c r="AI11" s="20" t="s">
        <v>62</v>
      </c>
      <c r="AJ11" s="21">
        <v>1</v>
      </c>
      <c r="AK11" s="19">
        <v>7000</v>
      </c>
      <c r="AL11" s="16">
        <f t="shared" si="5"/>
        <v>7000</v>
      </c>
      <c r="AM11" s="16"/>
      <c r="AN11" s="20" t="s">
        <v>63</v>
      </c>
      <c r="AO11" s="20">
        <v>1</v>
      </c>
      <c r="AP11" s="20">
        <v>5500</v>
      </c>
      <c r="AQ11" s="16">
        <f t="shared" si="6"/>
        <v>5500</v>
      </c>
      <c r="AR11" s="16"/>
      <c r="AS11" s="16" t="s">
        <v>42</v>
      </c>
      <c r="AT11" s="16">
        <v>1</v>
      </c>
      <c r="AU11" s="16">
        <v>50000</v>
      </c>
      <c r="AV11" s="16">
        <f t="shared" si="7"/>
        <v>50000</v>
      </c>
      <c r="AW11" s="16"/>
      <c r="AX11" s="16" t="s">
        <v>64</v>
      </c>
      <c r="AY11" s="16"/>
      <c r="AZ11" s="16">
        <v>5000</v>
      </c>
      <c r="BA11" s="16">
        <f t="shared" si="8"/>
        <v>0</v>
      </c>
      <c r="BB11" s="20"/>
      <c r="BC11" s="20" t="s">
        <v>65</v>
      </c>
      <c r="BD11" s="17">
        <v>1</v>
      </c>
      <c r="BE11" s="17">
        <v>950</v>
      </c>
      <c r="BF11" s="16">
        <f t="shared" si="9"/>
        <v>950</v>
      </c>
      <c r="BG11" s="20"/>
      <c r="BH11" s="20" t="s">
        <v>59</v>
      </c>
      <c r="BI11" s="20">
        <v>20</v>
      </c>
      <c r="BJ11" s="20">
        <v>350</v>
      </c>
      <c r="BK11" s="16">
        <f t="shared" si="10"/>
        <v>7000</v>
      </c>
      <c r="BL11" s="16"/>
      <c r="BM11" s="16" t="s">
        <v>59</v>
      </c>
      <c r="BN11" s="16">
        <v>15</v>
      </c>
      <c r="BO11" s="16">
        <v>350</v>
      </c>
      <c r="BP11" s="16">
        <f t="shared" si="11"/>
        <v>5250</v>
      </c>
      <c r="BQ11" s="16"/>
      <c r="BR11" s="16" t="s">
        <v>41</v>
      </c>
      <c r="BT11" s="16">
        <v>28000</v>
      </c>
      <c r="BU11" s="16">
        <f t="shared" si="12"/>
        <v>0</v>
      </c>
      <c r="BV11" s="16"/>
      <c r="BW11" s="16" t="s">
        <v>66</v>
      </c>
      <c r="BX11" s="25">
        <v>2</v>
      </c>
      <c r="BY11" s="16">
        <v>102600</v>
      </c>
      <c r="BZ11" s="20">
        <f t="shared" si="13"/>
        <v>205200</v>
      </c>
      <c r="CA11" s="16"/>
      <c r="CB11" s="16" t="s">
        <v>67</v>
      </c>
      <c r="CC11" s="16"/>
      <c r="CD11" s="16">
        <v>5000</v>
      </c>
      <c r="CE11" s="16">
        <f t="shared" si="14"/>
        <v>0</v>
      </c>
      <c r="CF11" s="16">
        <v>2</v>
      </c>
      <c r="CG11" s="16" t="s">
        <v>45</v>
      </c>
      <c r="CH11" s="16">
        <v>1</v>
      </c>
      <c r="CI11" s="23">
        <v>46500</v>
      </c>
      <c r="CJ11" s="23">
        <f t="shared" si="15"/>
        <v>46500</v>
      </c>
      <c r="CK11" s="20"/>
      <c r="CL11" s="20" t="s">
        <v>65</v>
      </c>
      <c r="CM11" s="20">
        <v>3</v>
      </c>
      <c r="CN11" s="20">
        <v>950</v>
      </c>
      <c r="CO11" s="23">
        <f t="shared" si="16"/>
        <v>2850</v>
      </c>
      <c r="CP11" s="16"/>
      <c r="CQ11" s="20" t="s">
        <v>59</v>
      </c>
      <c r="CR11" s="20"/>
      <c r="CS11" s="20">
        <v>350</v>
      </c>
      <c r="CT11" s="23">
        <f t="shared" si="17"/>
        <v>0</v>
      </c>
      <c r="CU11" s="20"/>
      <c r="CV11" s="16" t="s">
        <v>39</v>
      </c>
      <c r="CW11" s="16"/>
      <c r="CX11" s="16">
        <v>450</v>
      </c>
      <c r="CY11" s="23">
        <f t="shared" si="18"/>
        <v>0</v>
      </c>
      <c r="CZ11" s="20"/>
      <c r="DA11" s="16" t="s">
        <v>59</v>
      </c>
      <c r="DB11" s="16"/>
      <c r="DC11" s="16">
        <v>350</v>
      </c>
      <c r="DD11" s="23">
        <f t="shared" si="19"/>
        <v>0</v>
      </c>
      <c r="DE11" s="16">
        <v>2</v>
      </c>
      <c r="DF11" s="16" t="s">
        <v>68</v>
      </c>
      <c r="DG11" s="16">
        <v>1</v>
      </c>
      <c r="DH11" s="16">
        <v>9000</v>
      </c>
      <c r="DI11" s="16">
        <f t="shared" si="20"/>
        <v>9000</v>
      </c>
      <c r="DJ11" s="20"/>
      <c r="DK11" s="20" t="s">
        <v>69</v>
      </c>
      <c r="DL11" s="20"/>
      <c r="DM11" s="20">
        <v>1000</v>
      </c>
      <c r="DN11" s="16">
        <f t="shared" si="21"/>
        <v>0</v>
      </c>
      <c r="DO11" s="20"/>
      <c r="DP11" s="20" t="s">
        <v>70</v>
      </c>
      <c r="DQ11" s="20">
        <v>10</v>
      </c>
      <c r="DR11" s="20">
        <v>350</v>
      </c>
      <c r="DS11" s="16">
        <f t="shared" si="22"/>
        <v>3500</v>
      </c>
      <c r="DT11" s="20"/>
      <c r="DU11" s="20" t="s">
        <v>71</v>
      </c>
      <c r="DV11" s="20"/>
      <c r="DW11" s="20">
        <v>250</v>
      </c>
      <c r="DX11" s="24">
        <f t="shared" si="23"/>
        <v>0</v>
      </c>
    </row>
    <row r="12" spans="1:128" s="2" customFormat="1" x14ac:dyDescent="0.3">
      <c r="A12" s="20"/>
      <c r="B12" s="16" t="str">
        <f>O8</f>
        <v xml:space="preserve">PENDAFTARAN </v>
      </c>
      <c r="C12" s="16">
        <f>R37</f>
        <v>1048000</v>
      </c>
      <c r="D12" s="17"/>
      <c r="E12" s="20" t="s">
        <v>72</v>
      </c>
      <c r="F12" s="17"/>
      <c r="G12" s="17">
        <v>20000</v>
      </c>
      <c r="H12" s="16">
        <f t="shared" si="0"/>
        <v>0</v>
      </c>
      <c r="I12" s="19"/>
      <c r="J12" s="16" t="s">
        <v>43</v>
      </c>
      <c r="K12" s="19">
        <v>2</v>
      </c>
      <c r="L12" s="19">
        <v>1550</v>
      </c>
      <c r="M12" s="16">
        <f t="shared" si="1"/>
        <v>3100</v>
      </c>
      <c r="N12" s="17"/>
      <c r="O12" s="20" t="s">
        <v>73</v>
      </c>
      <c r="P12" s="21"/>
      <c r="Q12" s="19">
        <v>5000</v>
      </c>
      <c r="R12" s="16">
        <f t="shared" si="2"/>
        <v>0</v>
      </c>
      <c r="S12" s="20"/>
      <c r="T12" s="20" t="s">
        <v>74</v>
      </c>
      <c r="U12" s="20">
        <v>15</v>
      </c>
      <c r="V12" s="20">
        <v>3300</v>
      </c>
      <c r="W12" s="16">
        <f t="shared" si="3"/>
        <v>49500</v>
      </c>
      <c r="X12" s="16"/>
      <c r="Y12" s="16" t="s">
        <v>69</v>
      </c>
      <c r="Z12" s="16">
        <v>8</v>
      </c>
      <c r="AA12" s="16">
        <v>82000</v>
      </c>
      <c r="AB12" s="16">
        <f t="shared" si="24"/>
        <v>656000</v>
      </c>
      <c r="AC12" s="20"/>
      <c r="AD12" s="20" t="s">
        <v>75</v>
      </c>
      <c r="AE12" s="20"/>
      <c r="AF12" s="16">
        <v>250</v>
      </c>
      <c r="AG12" s="16">
        <f t="shared" si="4"/>
        <v>0</v>
      </c>
      <c r="AH12" s="16"/>
      <c r="AI12" s="20" t="s">
        <v>76</v>
      </c>
      <c r="AJ12" s="17">
        <v>6</v>
      </c>
      <c r="AK12" s="20">
        <v>26500</v>
      </c>
      <c r="AL12" s="16">
        <f t="shared" si="5"/>
        <v>159000</v>
      </c>
      <c r="AM12" s="16"/>
      <c r="AN12" s="20" t="s">
        <v>77</v>
      </c>
      <c r="AO12" s="20">
        <v>3</v>
      </c>
      <c r="AP12" s="20">
        <v>17000</v>
      </c>
      <c r="AQ12" s="16">
        <f t="shared" si="6"/>
        <v>51000</v>
      </c>
      <c r="AR12" s="16"/>
      <c r="AS12" s="20" t="s">
        <v>39</v>
      </c>
      <c r="AT12" s="20"/>
      <c r="AU12" s="20">
        <v>450</v>
      </c>
      <c r="AV12" s="16">
        <f t="shared" si="7"/>
        <v>0</v>
      </c>
      <c r="AW12" s="16"/>
      <c r="AX12" s="16" t="s">
        <v>41</v>
      </c>
      <c r="AY12" s="16">
        <v>1</v>
      </c>
      <c r="AZ12" s="16">
        <v>28000</v>
      </c>
      <c r="BA12" s="16">
        <f t="shared" si="8"/>
        <v>28000</v>
      </c>
      <c r="BB12" s="20"/>
      <c r="BC12" s="20" t="s">
        <v>78</v>
      </c>
      <c r="BD12" s="17">
        <v>20</v>
      </c>
      <c r="BE12" s="17">
        <v>250</v>
      </c>
      <c r="BF12" s="16">
        <f t="shared" si="9"/>
        <v>5000</v>
      </c>
      <c r="BG12" s="20"/>
      <c r="BH12" s="20" t="s">
        <v>79</v>
      </c>
      <c r="BI12" s="20">
        <v>20</v>
      </c>
      <c r="BJ12" s="20">
        <v>3300</v>
      </c>
      <c r="BK12" s="16">
        <f t="shared" si="10"/>
        <v>66000</v>
      </c>
      <c r="BL12" s="16"/>
      <c r="BM12" s="16" t="s">
        <v>79</v>
      </c>
      <c r="BN12" s="16">
        <v>15</v>
      </c>
      <c r="BO12" s="16">
        <v>3300</v>
      </c>
      <c r="BP12" s="16">
        <f t="shared" si="11"/>
        <v>49500</v>
      </c>
      <c r="BQ12" s="16"/>
      <c r="BR12" s="16" t="s">
        <v>60</v>
      </c>
      <c r="BT12" s="16">
        <v>39000</v>
      </c>
      <c r="BU12" s="16">
        <f t="shared" si="12"/>
        <v>0</v>
      </c>
      <c r="BV12" s="16"/>
      <c r="BW12" s="20" t="s">
        <v>68</v>
      </c>
      <c r="BX12" s="20"/>
      <c r="BY12" s="20">
        <v>9000</v>
      </c>
      <c r="BZ12" s="20">
        <f t="shared" si="13"/>
        <v>0</v>
      </c>
      <c r="CA12" s="16"/>
      <c r="CB12" s="16" t="s">
        <v>80</v>
      </c>
      <c r="CC12" s="16"/>
      <c r="CD12" s="16">
        <v>17500</v>
      </c>
      <c r="CE12" s="16">
        <f t="shared" si="14"/>
        <v>0</v>
      </c>
      <c r="CF12" s="16"/>
      <c r="CG12" s="16" t="s">
        <v>81</v>
      </c>
      <c r="CH12" s="16"/>
      <c r="CI12" s="23">
        <v>7500</v>
      </c>
      <c r="CJ12" s="23">
        <f t="shared" si="15"/>
        <v>0</v>
      </c>
      <c r="CK12" s="20"/>
      <c r="CL12" s="20" t="s">
        <v>58</v>
      </c>
      <c r="CM12" s="20"/>
      <c r="CN12" s="20">
        <v>85000</v>
      </c>
      <c r="CO12" s="23">
        <f t="shared" si="16"/>
        <v>0</v>
      </c>
      <c r="CP12" s="16"/>
      <c r="CQ12" s="16" t="s">
        <v>82</v>
      </c>
      <c r="CR12" s="16"/>
      <c r="CS12" s="16">
        <v>3000</v>
      </c>
      <c r="CT12" s="23">
        <f t="shared" si="17"/>
        <v>0</v>
      </c>
      <c r="CU12" s="20"/>
      <c r="CV12" s="16" t="s">
        <v>59</v>
      </c>
      <c r="CW12" s="16"/>
      <c r="CX12" s="16">
        <v>350</v>
      </c>
      <c r="CY12" s="23">
        <f t="shared" si="18"/>
        <v>0</v>
      </c>
      <c r="CZ12" s="20"/>
      <c r="DA12" s="20" t="s">
        <v>83</v>
      </c>
      <c r="DB12" s="20"/>
      <c r="DC12" s="20">
        <v>3300</v>
      </c>
      <c r="DD12" s="23">
        <f t="shared" si="19"/>
        <v>0</v>
      </c>
      <c r="DE12" s="16"/>
      <c r="DF12" s="16" t="s">
        <v>57</v>
      </c>
      <c r="DG12" s="16">
        <v>1</v>
      </c>
      <c r="DH12" s="16">
        <v>4000</v>
      </c>
      <c r="DI12" s="16">
        <f t="shared" si="20"/>
        <v>4000</v>
      </c>
      <c r="DJ12" s="20"/>
      <c r="DK12" s="20" t="s">
        <v>51</v>
      </c>
      <c r="DL12" s="20">
        <v>150</v>
      </c>
      <c r="DM12" s="20">
        <v>100</v>
      </c>
      <c r="DN12" s="16">
        <f t="shared" si="21"/>
        <v>15000</v>
      </c>
      <c r="DO12" s="20"/>
      <c r="DP12" s="20" t="s">
        <v>84</v>
      </c>
      <c r="DQ12" s="20">
        <v>50</v>
      </c>
      <c r="DR12" s="20">
        <v>100</v>
      </c>
      <c r="DS12" s="16">
        <f t="shared" si="22"/>
        <v>5000</v>
      </c>
      <c r="DT12" s="20"/>
      <c r="DU12" s="20" t="s">
        <v>85</v>
      </c>
      <c r="DV12" s="20"/>
      <c r="DW12" s="20">
        <v>250</v>
      </c>
      <c r="DX12" s="24">
        <f t="shared" si="23"/>
        <v>0</v>
      </c>
    </row>
    <row r="13" spans="1:128" s="2" customFormat="1" x14ac:dyDescent="0.3">
      <c r="A13" s="20"/>
      <c r="B13" s="16" t="str">
        <f>T8</f>
        <v>MADINAH 2</v>
      </c>
      <c r="C13" s="16">
        <f>W37</f>
        <v>141400</v>
      </c>
      <c r="D13" s="17"/>
      <c r="E13" s="26" t="s">
        <v>43</v>
      </c>
      <c r="F13" s="17"/>
      <c r="G13" s="17">
        <v>1550</v>
      </c>
      <c r="H13" s="16">
        <f t="shared" si="0"/>
        <v>0</v>
      </c>
      <c r="I13" s="19"/>
      <c r="J13" s="16" t="s">
        <v>65</v>
      </c>
      <c r="K13" s="19"/>
      <c r="L13" s="19">
        <v>950</v>
      </c>
      <c r="M13" s="16">
        <f t="shared" si="1"/>
        <v>0</v>
      </c>
      <c r="N13" s="17"/>
      <c r="O13" s="20" t="s">
        <v>43</v>
      </c>
      <c r="P13" s="21"/>
      <c r="Q13" s="19">
        <v>1550</v>
      </c>
      <c r="R13" s="16">
        <f t="shared" si="2"/>
        <v>0</v>
      </c>
      <c r="S13" s="20"/>
      <c r="T13" s="20" t="s">
        <v>86</v>
      </c>
      <c r="U13" s="20">
        <v>15</v>
      </c>
      <c r="V13" s="20">
        <v>2500</v>
      </c>
      <c r="W13" s="16">
        <f t="shared" si="3"/>
        <v>37500</v>
      </c>
      <c r="X13" s="16"/>
      <c r="Y13" s="16" t="s">
        <v>53</v>
      </c>
      <c r="Z13" s="16">
        <v>2</v>
      </c>
      <c r="AA13" s="16">
        <v>93000</v>
      </c>
      <c r="AB13" s="16">
        <f t="shared" si="24"/>
        <v>186000</v>
      </c>
      <c r="AC13" s="20"/>
      <c r="AD13" s="20" t="s">
        <v>87</v>
      </c>
      <c r="AE13" s="20">
        <v>10</v>
      </c>
      <c r="AF13" s="16">
        <v>1550</v>
      </c>
      <c r="AG13" s="16">
        <f t="shared" si="4"/>
        <v>15500</v>
      </c>
      <c r="AH13" s="16"/>
      <c r="AI13" s="16" t="s">
        <v>65</v>
      </c>
      <c r="AJ13" s="22">
        <v>5</v>
      </c>
      <c r="AK13" s="19">
        <v>950</v>
      </c>
      <c r="AL13" s="16">
        <f t="shared" si="5"/>
        <v>4750</v>
      </c>
      <c r="AM13" s="16"/>
      <c r="AN13" s="16" t="s">
        <v>45</v>
      </c>
      <c r="AO13" s="20">
        <v>1</v>
      </c>
      <c r="AP13" s="16">
        <v>46500</v>
      </c>
      <c r="AQ13" s="16">
        <f t="shared" si="6"/>
        <v>46500</v>
      </c>
      <c r="AR13" s="16"/>
      <c r="AS13" s="20" t="s">
        <v>43</v>
      </c>
      <c r="AT13" s="20"/>
      <c r="AU13" s="20">
        <v>1550</v>
      </c>
      <c r="AV13" s="16">
        <f t="shared" si="7"/>
        <v>0</v>
      </c>
      <c r="AW13" s="16"/>
      <c r="AX13" s="16" t="s">
        <v>60</v>
      </c>
      <c r="AY13" s="16">
        <v>1</v>
      </c>
      <c r="AZ13" s="16">
        <v>39000</v>
      </c>
      <c r="BA13" s="16">
        <f t="shared" si="8"/>
        <v>39000</v>
      </c>
      <c r="BB13" s="20"/>
      <c r="BC13" s="20" t="s">
        <v>88</v>
      </c>
      <c r="BD13" s="17"/>
      <c r="BE13" s="17">
        <v>2500</v>
      </c>
      <c r="BF13" s="16">
        <f t="shared" si="9"/>
        <v>0</v>
      </c>
      <c r="BG13" s="20"/>
      <c r="BH13" s="20" t="s">
        <v>89</v>
      </c>
      <c r="BI13" s="20">
        <v>20</v>
      </c>
      <c r="BJ13" s="20">
        <v>2500</v>
      </c>
      <c r="BK13" s="16">
        <f t="shared" si="10"/>
        <v>50000</v>
      </c>
      <c r="BL13" s="16"/>
      <c r="BM13" s="16" t="s">
        <v>89</v>
      </c>
      <c r="BN13" s="16">
        <v>15</v>
      </c>
      <c r="BO13" s="16">
        <v>2500</v>
      </c>
      <c r="BP13" s="16">
        <f t="shared" si="11"/>
        <v>37500</v>
      </c>
      <c r="BQ13" s="16"/>
      <c r="BR13" s="16" t="s">
        <v>69</v>
      </c>
      <c r="BT13" s="16">
        <v>92000</v>
      </c>
      <c r="BU13" s="16">
        <f t="shared" si="12"/>
        <v>0</v>
      </c>
      <c r="BV13" s="16"/>
      <c r="BW13" s="20" t="s">
        <v>90</v>
      </c>
      <c r="BX13" s="20">
        <v>1</v>
      </c>
      <c r="BY13" s="20">
        <v>7000</v>
      </c>
      <c r="BZ13" s="20">
        <f t="shared" si="13"/>
        <v>7000</v>
      </c>
      <c r="CA13" s="16"/>
      <c r="CB13" s="20" t="s">
        <v>91</v>
      </c>
      <c r="CC13" s="17"/>
      <c r="CD13" s="17">
        <v>85000</v>
      </c>
      <c r="CE13" s="16">
        <f t="shared" si="14"/>
        <v>0</v>
      </c>
      <c r="CF13" s="16"/>
      <c r="CG13" s="16" t="s">
        <v>43</v>
      </c>
      <c r="CH13" s="16"/>
      <c r="CI13" s="23">
        <v>1550</v>
      </c>
      <c r="CJ13" s="23">
        <f t="shared" si="15"/>
        <v>0</v>
      </c>
      <c r="CK13" s="20"/>
      <c r="CL13" s="20" t="s">
        <v>43</v>
      </c>
      <c r="CM13" s="20"/>
      <c r="CN13" s="20">
        <v>1550</v>
      </c>
      <c r="CO13" s="23">
        <f t="shared" si="16"/>
        <v>0</v>
      </c>
      <c r="CP13" s="16"/>
      <c r="CQ13" s="16" t="s">
        <v>87</v>
      </c>
      <c r="CR13" s="16"/>
      <c r="CS13" s="16">
        <v>1550</v>
      </c>
      <c r="CT13" s="23">
        <f t="shared" si="17"/>
        <v>0</v>
      </c>
      <c r="CU13" s="20"/>
      <c r="CV13" s="20" t="s">
        <v>68</v>
      </c>
      <c r="CW13" s="20"/>
      <c r="CX13" s="20">
        <v>9000</v>
      </c>
      <c r="CY13" s="23">
        <f t="shared" si="18"/>
        <v>0</v>
      </c>
      <c r="CZ13" s="20"/>
      <c r="DA13" s="20" t="s">
        <v>90</v>
      </c>
      <c r="DB13" s="20"/>
      <c r="DC13" s="20">
        <v>7000</v>
      </c>
      <c r="DD13" s="23">
        <f t="shared" si="19"/>
        <v>0</v>
      </c>
      <c r="DE13" s="16"/>
      <c r="DF13" s="16" t="s">
        <v>92</v>
      </c>
      <c r="DG13" s="16">
        <v>2</v>
      </c>
      <c r="DH13" s="16">
        <v>4000</v>
      </c>
      <c r="DI13" s="16">
        <f t="shared" si="20"/>
        <v>8000</v>
      </c>
      <c r="DJ13" s="20"/>
      <c r="DK13" s="20" t="s">
        <v>93</v>
      </c>
      <c r="DL13" s="20"/>
      <c r="DM13" s="20">
        <v>250</v>
      </c>
      <c r="DN13" s="16">
        <f t="shared" si="21"/>
        <v>0</v>
      </c>
      <c r="DO13" s="20"/>
      <c r="DP13" s="20" t="s">
        <v>65</v>
      </c>
      <c r="DQ13" s="20">
        <v>2</v>
      </c>
      <c r="DR13" s="20">
        <v>950</v>
      </c>
      <c r="DS13" s="16">
        <f t="shared" si="22"/>
        <v>1900</v>
      </c>
      <c r="DT13" s="20"/>
      <c r="DU13" s="20" t="s">
        <v>94</v>
      </c>
      <c r="DV13" s="20">
        <v>10</v>
      </c>
      <c r="DW13" s="20">
        <v>250</v>
      </c>
      <c r="DX13" s="24">
        <f t="shared" si="23"/>
        <v>2500</v>
      </c>
    </row>
    <row r="14" spans="1:128" s="2" customFormat="1" x14ac:dyDescent="0.3">
      <c r="A14" s="20"/>
      <c r="B14" s="16" t="str">
        <f>Y8</f>
        <v>PPI</v>
      </c>
      <c r="C14" s="16">
        <f>AB37</f>
        <v>1635000</v>
      </c>
      <c r="D14" s="17"/>
      <c r="E14" s="20" t="s">
        <v>65</v>
      </c>
      <c r="F14" s="17"/>
      <c r="G14" s="17">
        <v>950</v>
      </c>
      <c r="H14" s="16">
        <f t="shared" si="0"/>
        <v>0</v>
      </c>
      <c r="I14" s="19"/>
      <c r="J14" s="16" t="s">
        <v>95</v>
      </c>
      <c r="K14" s="22"/>
      <c r="L14" s="19">
        <v>15000</v>
      </c>
      <c r="M14" s="16">
        <f t="shared" si="1"/>
        <v>0</v>
      </c>
      <c r="N14" s="17"/>
      <c r="O14" s="20" t="s">
        <v>50</v>
      </c>
      <c r="P14" s="21"/>
      <c r="Q14" s="19">
        <v>26500</v>
      </c>
      <c r="R14" s="16">
        <f t="shared" si="2"/>
        <v>0</v>
      </c>
      <c r="S14" s="20"/>
      <c r="T14" s="20" t="s">
        <v>43</v>
      </c>
      <c r="U14" s="20">
        <v>1</v>
      </c>
      <c r="V14" s="20">
        <v>1550</v>
      </c>
      <c r="W14" s="16">
        <f t="shared" si="3"/>
        <v>1550</v>
      </c>
      <c r="X14" s="16"/>
      <c r="Y14" s="16" t="s">
        <v>68</v>
      </c>
      <c r="Z14" s="16">
        <v>36</v>
      </c>
      <c r="AA14" s="16">
        <v>9000</v>
      </c>
      <c r="AB14" s="16">
        <f t="shared" si="24"/>
        <v>324000</v>
      </c>
      <c r="AC14" s="20"/>
      <c r="AD14" s="20" t="s">
        <v>65</v>
      </c>
      <c r="AE14" s="20">
        <v>4</v>
      </c>
      <c r="AF14" s="16">
        <v>950</v>
      </c>
      <c r="AG14" s="16">
        <f t="shared" si="4"/>
        <v>3800</v>
      </c>
      <c r="AH14" s="16"/>
      <c r="AI14" s="16" t="s">
        <v>96</v>
      </c>
      <c r="AJ14" s="22">
        <v>1</v>
      </c>
      <c r="AK14" s="19">
        <v>10000</v>
      </c>
      <c r="AL14" s="16">
        <f t="shared" si="5"/>
        <v>10000</v>
      </c>
      <c r="AM14" s="16"/>
      <c r="AN14" s="16" t="s">
        <v>68</v>
      </c>
      <c r="AO14" s="16"/>
      <c r="AP14" s="16">
        <v>9000</v>
      </c>
      <c r="AQ14" s="16">
        <f t="shared" si="6"/>
        <v>0</v>
      </c>
      <c r="AR14" s="16"/>
      <c r="AS14" s="16" t="s">
        <v>65</v>
      </c>
      <c r="AT14" s="16">
        <v>2</v>
      </c>
      <c r="AU14" s="16">
        <v>950</v>
      </c>
      <c r="AV14" s="16">
        <f t="shared" si="7"/>
        <v>1900</v>
      </c>
      <c r="AW14" s="16"/>
      <c r="AX14" s="16" t="s">
        <v>68</v>
      </c>
      <c r="AY14" s="16"/>
      <c r="AZ14" s="16">
        <v>9000</v>
      </c>
      <c r="BA14" s="16">
        <f t="shared" si="8"/>
        <v>0</v>
      </c>
      <c r="BB14" s="20"/>
      <c r="BC14" s="20" t="s">
        <v>97</v>
      </c>
      <c r="BD14" s="17">
        <v>20</v>
      </c>
      <c r="BE14" s="17">
        <v>250</v>
      </c>
      <c r="BF14" s="16">
        <f t="shared" si="9"/>
        <v>5000</v>
      </c>
      <c r="BG14" s="20"/>
      <c r="BH14" s="20" t="s">
        <v>98</v>
      </c>
      <c r="BI14" s="20"/>
      <c r="BJ14" s="20">
        <v>1550</v>
      </c>
      <c r="BK14" s="16">
        <f t="shared" si="10"/>
        <v>0</v>
      </c>
      <c r="BL14" s="16"/>
      <c r="BM14" s="16" t="s">
        <v>43</v>
      </c>
      <c r="BN14" s="16">
        <v>1</v>
      </c>
      <c r="BO14" s="16">
        <v>1550</v>
      </c>
      <c r="BP14" s="16">
        <f t="shared" si="11"/>
        <v>1550</v>
      </c>
      <c r="BQ14" s="16"/>
      <c r="BR14" s="16" t="s">
        <v>53</v>
      </c>
      <c r="BT14" s="16">
        <v>100000</v>
      </c>
      <c r="BU14" s="16">
        <f t="shared" si="12"/>
        <v>0</v>
      </c>
      <c r="BV14" s="16"/>
      <c r="BW14" s="20" t="s">
        <v>99</v>
      </c>
      <c r="BX14" s="20"/>
      <c r="BY14" s="20">
        <v>145000</v>
      </c>
      <c r="BZ14" s="20">
        <f t="shared" si="13"/>
        <v>0</v>
      </c>
      <c r="CA14" s="16"/>
      <c r="CB14" s="20" t="s">
        <v>100</v>
      </c>
      <c r="CC14" s="20">
        <v>1</v>
      </c>
      <c r="CD14" s="20">
        <v>6500</v>
      </c>
      <c r="CE14" s="16">
        <f t="shared" si="14"/>
        <v>6500</v>
      </c>
      <c r="CF14" s="16"/>
      <c r="CG14" s="16" t="s">
        <v>50</v>
      </c>
      <c r="CH14" s="16">
        <v>5</v>
      </c>
      <c r="CI14" s="23">
        <v>26500</v>
      </c>
      <c r="CJ14" s="23">
        <f t="shared" si="15"/>
        <v>132500</v>
      </c>
      <c r="CK14" s="20"/>
      <c r="CL14" s="20" t="s">
        <v>101</v>
      </c>
      <c r="CM14" s="20"/>
      <c r="CN14" s="20">
        <v>85000</v>
      </c>
      <c r="CO14" s="23">
        <f t="shared" si="16"/>
        <v>0</v>
      </c>
      <c r="CP14" s="16"/>
      <c r="CQ14" s="16" t="s">
        <v>102</v>
      </c>
      <c r="CR14" s="16">
        <v>1</v>
      </c>
      <c r="CS14" s="16">
        <v>2500</v>
      </c>
      <c r="CT14" s="23">
        <f t="shared" si="17"/>
        <v>2500</v>
      </c>
      <c r="CU14" s="20"/>
      <c r="CV14" s="20" t="s">
        <v>57</v>
      </c>
      <c r="CW14" s="20"/>
      <c r="CX14" s="20">
        <v>4000</v>
      </c>
      <c r="CY14" s="23">
        <f t="shared" si="18"/>
        <v>0</v>
      </c>
      <c r="CZ14" s="20"/>
      <c r="DA14" s="20" t="s">
        <v>55</v>
      </c>
      <c r="DB14" s="20"/>
      <c r="DC14" s="20">
        <v>1000</v>
      </c>
      <c r="DD14" s="23">
        <f t="shared" si="19"/>
        <v>0</v>
      </c>
      <c r="DE14" s="16"/>
      <c r="DF14" s="16" t="s">
        <v>103</v>
      </c>
      <c r="DG14" s="16"/>
      <c r="DH14" s="16">
        <v>8000</v>
      </c>
      <c r="DI14" s="16">
        <f t="shared" si="20"/>
        <v>0</v>
      </c>
      <c r="DJ14" s="20"/>
      <c r="DK14" s="20" t="s">
        <v>104</v>
      </c>
      <c r="DL14" s="20"/>
      <c r="DM14" s="20">
        <v>250</v>
      </c>
      <c r="DN14" s="16">
        <f t="shared" si="21"/>
        <v>0</v>
      </c>
      <c r="DO14" s="20"/>
      <c r="DP14" s="20" t="s">
        <v>83</v>
      </c>
      <c r="DQ14" s="20">
        <v>5</v>
      </c>
      <c r="DR14" s="20">
        <v>3300</v>
      </c>
      <c r="DS14" s="16">
        <f t="shared" si="22"/>
        <v>16500</v>
      </c>
      <c r="DT14" s="20"/>
      <c r="DU14" s="20" t="s">
        <v>105</v>
      </c>
      <c r="DV14" s="20"/>
      <c r="DW14" s="20">
        <v>700</v>
      </c>
      <c r="DX14" s="24">
        <f t="shared" si="23"/>
        <v>0</v>
      </c>
    </row>
    <row r="15" spans="1:128" s="2" customFormat="1" x14ac:dyDescent="0.3">
      <c r="A15" s="20"/>
      <c r="B15" s="16" t="str">
        <f>AD8</f>
        <v>FARMASI</v>
      </c>
      <c r="C15" s="16">
        <f>AG37</f>
        <v>613700</v>
      </c>
      <c r="D15" s="17"/>
      <c r="E15" s="20" t="s">
        <v>106</v>
      </c>
      <c r="F15" s="17"/>
      <c r="G15" s="17">
        <v>26500</v>
      </c>
      <c r="H15" s="16">
        <f t="shared" si="0"/>
        <v>0</v>
      </c>
      <c r="I15" s="19"/>
      <c r="J15" s="16" t="s">
        <v>107</v>
      </c>
      <c r="K15" s="16"/>
      <c r="L15" s="16">
        <v>11000</v>
      </c>
      <c r="M15" s="16">
        <f t="shared" si="1"/>
        <v>0</v>
      </c>
      <c r="N15" s="17"/>
      <c r="O15" s="20" t="s">
        <v>108</v>
      </c>
      <c r="P15" s="21"/>
      <c r="Q15" s="19">
        <v>65000</v>
      </c>
      <c r="R15" s="16">
        <f t="shared" si="2"/>
        <v>0</v>
      </c>
      <c r="S15" s="20"/>
      <c r="T15" s="20" t="s">
        <v>65</v>
      </c>
      <c r="U15" s="20">
        <v>3</v>
      </c>
      <c r="V15" s="20">
        <v>950</v>
      </c>
      <c r="W15" s="16">
        <f t="shared" si="3"/>
        <v>2850</v>
      </c>
      <c r="X15" s="16"/>
      <c r="Y15" s="16" t="s">
        <v>90</v>
      </c>
      <c r="Z15" s="16"/>
      <c r="AA15" s="16">
        <v>7000</v>
      </c>
      <c r="AB15" s="16">
        <f t="shared" si="24"/>
        <v>0</v>
      </c>
      <c r="AC15" s="20"/>
      <c r="AD15" s="20" t="s">
        <v>108</v>
      </c>
      <c r="AE15" s="20"/>
      <c r="AF15" s="16">
        <v>70000</v>
      </c>
      <c r="AG15" s="16">
        <f t="shared" si="4"/>
        <v>0</v>
      </c>
      <c r="AH15" s="16"/>
      <c r="AI15" s="16" t="s">
        <v>109</v>
      </c>
      <c r="AJ15" s="22"/>
      <c r="AK15" s="19">
        <v>10000</v>
      </c>
      <c r="AL15" s="16">
        <f t="shared" si="5"/>
        <v>0</v>
      </c>
      <c r="AM15" s="16"/>
      <c r="AN15" s="16" t="s">
        <v>110</v>
      </c>
      <c r="AO15" s="16"/>
      <c r="AP15" s="16">
        <v>80000</v>
      </c>
      <c r="AQ15" s="16">
        <f t="shared" si="6"/>
        <v>0</v>
      </c>
      <c r="AR15" s="16"/>
      <c r="AS15" s="16" t="s">
        <v>111</v>
      </c>
      <c r="AT15" s="16">
        <v>1</v>
      </c>
      <c r="AU15" s="16">
        <v>13000</v>
      </c>
      <c r="AV15" s="16">
        <f t="shared" si="7"/>
        <v>13000</v>
      </c>
      <c r="AW15" s="16"/>
      <c r="AX15" s="16" t="s">
        <v>90</v>
      </c>
      <c r="AY15" s="16"/>
      <c r="AZ15" s="16">
        <v>7000</v>
      </c>
      <c r="BA15" s="16">
        <f t="shared" si="8"/>
        <v>0</v>
      </c>
      <c r="BB15" s="20"/>
      <c r="BC15" s="20" t="s">
        <v>112</v>
      </c>
      <c r="BD15" s="17">
        <v>20</v>
      </c>
      <c r="BE15" s="17">
        <v>250</v>
      </c>
      <c r="BF15" s="16">
        <f t="shared" si="9"/>
        <v>5000</v>
      </c>
      <c r="BG15" s="20"/>
      <c r="BH15" s="20" t="s">
        <v>65</v>
      </c>
      <c r="BI15" s="20">
        <v>3</v>
      </c>
      <c r="BJ15" s="20">
        <v>950</v>
      </c>
      <c r="BK15" s="16">
        <f t="shared" si="10"/>
        <v>2850</v>
      </c>
      <c r="BL15" s="16"/>
      <c r="BM15" s="16" t="s">
        <v>65</v>
      </c>
      <c r="BN15" s="16">
        <v>2</v>
      </c>
      <c r="BO15" s="16">
        <v>950</v>
      </c>
      <c r="BP15" s="16">
        <f t="shared" si="11"/>
        <v>1900</v>
      </c>
      <c r="BQ15" s="16"/>
      <c r="BR15" s="16" t="s">
        <v>113</v>
      </c>
      <c r="BS15" s="16"/>
      <c r="BT15" s="16">
        <v>5000</v>
      </c>
      <c r="BU15" s="16">
        <f t="shared" si="12"/>
        <v>0</v>
      </c>
      <c r="BV15" s="16"/>
      <c r="BW15" s="16" t="s">
        <v>114</v>
      </c>
      <c r="BX15" s="16">
        <v>5</v>
      </c>
      <c r="BY15" s="16">
        <v>35000</v>
      </c>
      <c r="BZ15" s="20">
        <f t="shared" si="13"/>
        <v>175000</v>
      </c>
      <c r="CA15" s="16"/>
      <c r="CB15" s="16"/>
      <c r="CC15" s="16"/>
      <c r="CD15" s="16"/>
      <c r="CE15" s="16">
        <f t="shared" si="14"/>
        <v>0</v>
      </c>
      <c r="CF15" s="16"/>
      <c r="CG15" s="16" t="s">
        <v>58</v>
      </c>
      <c r="CH15" s="16"/>
      <c r="CI15" s="23">
        <v>85000</v>
      </c>
      <c r="CJ15" s="23">
        <f t="shared" si="15"/>
        <v>0</v>
      </c>
      <c r="CK15" s="20"/>
      <c r="CL15" s="20" t="s">
        <v>68</v>
      </c>
      <c r="CM15" s="20"/>
      <c r="CN15" s="20">
        <v>9000</v>
      </c>
      <c r="CO15" s="23">
        <f t="shared" si="16"/>
        <v>0</v>
      </c>
      <c r="CP15" s="16"/>
      <c r="CQ15" s="16" t="s">
        <v>58</v>
      </c>
      <c r="CR15" s="16"/>
      <c r="CS15" s="16">
        <v>85000</v>
      </c>
      <c r="CT15" s="23">
        <f t="shared" si="17"/>
        <v>0</v>
      </c>
      <c r="CU15" s="20"/>
      <c r="CV15" s="20" t="s">
        <v>115</v>
      </c>
      <c r="CW15" s="20"/>
      <c r="CX15" s="20">
        <v>450</v>
      </c>
      <c r="CY15" s="23">
        <f t="shared" si="18"/>
        <v>0</v>
      </c>
      <c r="CZ15" s="20"/>
      <c r="DA15" s="20" t="s">
        <v>65</v>
      </c>
      <c r="DB15" s="20"/>
      <c r="DC15" s="20">
        <v>950</v>
      </c>
      <c r="DD15" s="23">
        <f t="shared" si="19"/>
        <v>0</v>
      </c>
      <c r="DE15" s="16"/>
      <c r="DF15" s="20" t="s">
        <v>116</v>
      </c>
      <c r="DG15" s="21"/>
      <c r="DH15" s="19">
        <v>20000</v>
      </c>
      <c r="DI15" s="16">
        <f t="shared" si="20"/>
        <v>0</v>
      </c>
      <c r="DJ15" s="20"/>
      <c r="DK15" s="20" t="s">
        <v>117</v>
      </c>
      <c r="DL15" s="20">
        <v>6</v>
      </c>
      <c r="DM15" s="20">
        <v>250</v>
      </c>
      <c r="DN15" s="16">
        <f t="shared" si="21"/>
        <v>1500</v>
      </c>
      <c r="DO15" s="20"/>
      <c r="DP15" s="20" t="s">
        <v>88</v>
      </c>
      <c r="DQ15" s="20">
        <v>10</v>
      </c>
      <c r="DR15" s="20">
        <v>2500</v>
      </c>
      <c r="DS15" s="16">
        <f t="shared" si="22"/>
        <v>25000</v>
      </c>
      <c r="DT15" s="20"/>
      <c r="DU15" s="20" t="s">
        <v>68</v>
      </c>
      <c r="DV15" s="20"/>
      <c r="DW15" s="20">
        <v>9000</v>
      </c>
      <c r="DX15" s="24">
        <f t="shared" si="23"/>
        <v>0</v>
      </c>
    </row>
    <row r="16" spans="1:128" s="2" customFormat="1" x14ac:dyDescent="0.3">
      <c r="A16" s="20"/>
      <c r="B16" s="16" t="str">
        <f>AI8</f>
        <v>POLI</v>
      </c>
      <c r="C16" s="16">
        <f>AL37</f>
        <v>303800</v>
      </c>
      <c r="D16" s="17"/>
      <c r="E16" s="20" t="s">
        <v>118</v>
      </c>
      <c r="F16" s="17"/>
      <c r="G16" s="17">
        <v>7000</v>
      </c>
      <c r="H16" s="16">
        <f t="shared" si="0"/>
        <v>0</v>
      </c>
      <c r="I16" s="19"/>
      <c r="J16" s="16" t="s">
        <v>119</v>
      </c>
      <c r="K16" s="19"/>
      <c r="L16" s="19">
        <v>250</v>
      </c>
      <c r="M16" s="16">
        <f t="shared" si="1"/>
        <v>0</v>
      </c>
      <c r="N16" s="17"/>
      <c r="O16" s="20" t="s">
        <v>120</v>
      </c>
      <c r="P16" s="21">
        <v>100</v>
      </c>
      <c r="Q16" s="19">
        <v>4230</v>
      </c>
      <c r="R16" s="16">
        <f t="shared" si="2"/>
        <v>423000</v>
      </c>
      <c r="S16" s="20"/>
      <c r="T16" s="20" t="s">
        <v>121</v>
      </c>
      <c r="U16" s="20"/>
      <c r="V16" s="20">
        <v>250</v>
      </c>
      <c r="W16" s="16">
        <f t="shared" si="3"/>
        <v>0</v>
      </c>
      <c r="X16" s="16"/>
      <c r="Y16" s="20" t="s">
        <v>57</v>
      </c>
      <c r="Z16" s="20"/>
      <c r="AA16" s="16">
        <v>4000</v>
      </c>
      <c r="AB16" s="16">
        <f t="shared" si="24"/>
        <v>0</v>
      </c>
      <c r="AC16" s="20"/>
      <c r="AD16" s="20" t="s">
        <v>68</v>
      </c>
      <c r="AE16" s="20"/>
      <c r="AF16" s="16">
        <v>9000</v>
      </c>
      <c r="AG16" s="16">
        <f t="shared" si="4"/>
        <v>0</v>
      </c>
      <c r="AH16" s="16"/>
      <c r="AI16" s="16" t="s">
        <v>49</v>
      </c>
      <c r="AJ16" s="22"/>
      <c r="AK16" s="19">
        <v>100</v>
      </c>
      <c r="AL16" s="16">
        <f t="shared" si="5"/>
        <v>0</v>
      </c>
      <c r="AM16" s="16"/>
      <c r="AN16" s="16" t="s">
        <v>122</v>
      </c>
      <c r="AO16" s="16"/>
      <c r="AP16" s="16">
        <v>2000</v>
      </c>
      <c r="AQ16" s="16">
        <f t="shared" si="6"/>
        <v>0</v>
      </c>
      <c r="AR16" s="16"/>
      <c r="AS16" s="16" t="s">
        <v>68</v>
      </c>
      <c r="AT16" s="16"/>
      <c r="AU16" s="16">
        <v>9000</v>
      </c>
      <c r="AV16" s="16">
        <f t="shared" si="7"/>
        <v>0</v>
      </c>
      <c r="AW16" s="16"/>
      <c r="AX16" s="16" t="s">
        <v>57</v>
      </c>
      <c r="AY16" s="16"/>
      <c r="AZ16" s="16">
        <v>4000</v>
      </c>
      <c r="BA16" s="16">
        <f t="shared" si="8"/>
        <v>0</v>
      </c>
      <c r="BB16" s="20"/>
      <c r="BC16" s="20" t="s">
        <v>123</v>
      </c>
      <c r="BD16" s="17">
        <v>20</v>
      </c>
      <c r="BE16" s="17">
        <v>350</v>
      </c>
      <c r="BF16" s="16">
        <f t="shared" si="9"/>
        <v>7000</v>
      </c>
      <c r="BG16" s="20"/>
      <c r="BH16" s="20" t="s">
        <v>124</v>
      </c>
      <c r="BI16" s="20"/>
      <c r="BJ16" s="20">
        <v>250</v>
      </c>
      <c r="BK16" s="16">
        <f t="shared" si="10"/>
        <v>0</v>
      </c>
      <c r="BL16" s="16"/>
      <c r="BM16" s="16" t="s">
        <v>125</v>
      </c>
      <c r="BN16" s="16">
        <v>15</v>
      </c>
      <c r="BO16" s="16">
        <v>250</v>
      </c>
      <c r="BP16" s="16">
        <f t="shared" si="11"/>
        <v>3750</v>
      </c>
      <c r="BQ16" s="16"/>
      <c r="BR16" s="16" t="s">
        <v>126</v>
      </c>
      <c r="BS16" s="16"/>
      <c r="BT16" s="16">
        <v>12000</v>
      </c>
      <c r="BU16" s="16">
        <f t="shared" si="12"/>
        <v>0</v>
      </c>
      <c r="BV16" s="16"/>
      <c r="BW16" s="16" t="s">
        <v>127</v>
      </c>
      <c r="BX16" s="16">
        <v>1</v>
      </c>
      <c r="BY16" s="16">
        <v>96450</v>
      </c>
      <c r="BZ16" s="20">
        <f t="shared" si="13"/>
        <v>96450</v>
      </c>
      <c r="CA16" s="16"/>
      <c r="CB16" s="16"/>
      <c r="CC16" s="16"/>
      <c r="CD16" s="16"/>
      <c r="CE16" s="16">
        <f t="shared" si="14"/>
        <v>0</v>
      </c>
      <c r="CF16" s="16"/>
      <c r="CG16" s="16" t="s">
        <v>128</v>
      </c>
      <c r="CH16" s="16"/>
      <c r="CI16" s="23">
        <v>2000</v>
      </c>
      <c r="CJ16" s="23">
        <f t="shared" si="15"/>
        <v>0</v>
      </c>
      <c r="CK16" s="20"/>
      <c r="CL16" s="20" t="s">
        <v>129</v>
      </c>
      <c r="CM16" s="20">
        <v>1</v>
      </c>
      <c r="CN16" s="20">
        <v>5000</v>
      </c>
      <c r="CO16" s="23">
        <f t="shared" si="16"/>
        <v>5000</v>
      </c>
      <c r="CP16" s="16"/>
      <c r="CQ16" s="16" t="s">
        <v>90</v>
      </c>
      <c r="CR16" s="16"/>
      <c r="CS16" s="16">
        <v>7000</v>
      </c>
      <c r="CT16" s="23">
        <f t="shared" si="17"/>
        <v>0</v>
      </c>
      <c r="CU16" s="20"/>
      <c r="CV16" s="20" t="s">
        <v>70</v>
      </c>
      <c r="CW16" s="20"/>
      <c r="CX16" s="20">
        <v>350</v>
      </c>
      <c r="CY16" s="23">
        <f t="shared" si="18"/>
        <v>0</v>
      </c>
      <c r="CZ16" s="20"/>
      <c r="DA16" s="20" t="s">
        <v>62</v>
      </c>
      <c r="DB16" s="20"/>
      <c r="DC16" s="20">
        <v>7000</v>
      </c>
      <c r="DD16" s="23">
        <f t="shared" si="19"/>
        <v>0</v>
      </c>
      <c r="DE16" s="16"/>
      <c r="DF16" s="16" t="s">
        <v>130</v>
      </c>
      <c r="DG16" s="16"/>
      <c r="DH16" s="16">
        <v>250</v>
      </c>
      <c r="DI16" s="16">
        <f t="shared" si="20"/>
        <v>0</v>
      </c>
      <c r="DJ16" s="20"/>
      <c r="DK16" s="20" t="s">
        <v>131</v>
      </c>
      <c r="DL16" s="20">
        <v>30</v>
      </c>
      <c r="DM16" s="20">
        <v>250</v>
      </c>
      <c r="DN16" s="16">
        <f t="shared" si="21"/>
        <v>7500</v>
      </c>
      <c r="DO16" s="20"/>
      <c r="DP16" s="20" t="s">
        <v>68</v>
      </c>
      <c r="DQ16" s="20"/>
      <c r="DR16" s="20">
        <v>9000</v>
      </c>
      <c r="DS16" s="16">
        <f t="shared" si="22"/>
        <v>0</v>
      </c>
      <c r="DT16" s="20"/>
      <c r="DU16" s="20" t="s">
        <v>57</v>
      </c>
      <c r="DV16" s="20">
        <v>2</v>
      </c>
      <c r="DW16" s="20">
        <v>4000</v>
      </c>
      <c r="DX16" s="24">
        <f t="shared" si="23"/>
        <v>8000</v>
      </c>
    </row>
    <row r="17" spans="1:128" s="2" customFormat="1" x14ac:dyDescent="0.3">
      <c r="A17" s="20"/>
      <c r="B17" s="16" t="str">
        <f>AN8</f>
        <v>RADIOLOGI</v>
      </c>
      <c r="C17" s="16">
        <f>AQ37</f>
        <v>110000</v>
      </c>
      <c r="D17" s="17"/>
      <c r="E17" s="20" t="s">
        <v>50</v>
      </c>
      <c r="F17" s="17"/>
      <c r="G17" s="17">
        <v>26500</v>
      </c>
      <c r="H17" s="16">
        <f t="shared" si="0"/>
        <v>0</v>
      </c>
      <c r="I17" s="19"/>
      <c r="J17" s="16" t="s">
        <v>105</v>
      </c>
      <c r="K17" s="19">
        <v>50</v>
      </c>
      <c r="L17" s="19">
        <v>700</v>
      </c>
      <c r="M17" s="16">
        <f t="shared" si="1"/>
        <v>35000</v>
      </c>
      <c r="N17" s="17"/>
      <c r="O17" s="20" t="s">
        <v>132</v>
      </c>
      <c r="P17" s="21">
        <v>100</v>
      </c>
      <c r="Q17" s="19">
        <v>2200</v>
      </c>
      <c r="R17" s="16">
        <f t="shared" si="2"/>
        <v>220000</v>
      </c>
      <c r="S17" s="20"/>
      <c r="T17" s="20" t="s">
        <v>133</v>
      </c>
      <c r="U17" s="20"/>
      <c r="V17" s="20">
        <v>250</v>
      </c>
      <c r="W17" s="16">
        <f t="shared" si="3"/>
        <v>0</v>
      </c>
      <c r="X17" s="16"/>
      <c r="Y17" s="16"/>
      <c r="Z17" s="16"/>
      <c r="AA17" s="16"/>
      <c r="AB17" s="16">
        <f t="shared" si="24"/>
        <v>0</v>
      </c>
      <c r="AC17" s="20"/>
      <c r="AD17" s="20" t="s">
        <v>57</v>
      </c>
      <c r="AE17" s="20">
        <v>1</v>
      </c>
      <c r="AF17" s="16">
        <v>4000</v>
      </c>
      <c r="AG17" s="16">
        <f t="shared" si="4"/>
        <v>4000</v>
      </c>
      <c r="AH17" s="16"/>
      <c r="AI17" s="20" t="s">
        <v>134</v>
      </c>
      <c r="AJ17" s="21">
        <v>1</v>
      </c>
      <c r="AK17" s="19">
        <v>8500</v>
      </c>
      <c r="AL17" s="16">
        <f t="shared" si="5"/>
        <v>8500</v>
      </c>
      <c r="AM17" s="16"/>
      <c r="AN17" s="16" t="s">
        <v>90</v>
      </c>
      <c r="AO17" s="16"/>
      <c r="AP17" s="16">
        <v>7000</v>
      </c>
      <c r="AQ17" s="16">
        <f t="shared" si="6"/>
        <v>0</v>
      </c>
      <c r="AR17" s="16"/>
      <c r="AS17" s="16" t="s">
        <v>57</v>
      </c>
      <c r="AT17" s="16">
        <v>2</v>
      </c>
      <c r="AU17" s="16">
        <v>4000</v>
      </c>
      <c r="AV17" s="16">
        <f t="shared" si="7"/>
        <v>8000</v>
      </c>
      <c r="AW17" s="16"/>
      <c r="AX17" s="16" t="s">
        <v>135</v>
      </c>
      <c r="AY17" s="16"/>
      <c r="AZ17" s="16">
        <v>6500</v>
      </c>
      <c r="BA17" s="16">
        <f t="shared" si="8"/>
        <v>0</v>
      </c>
      <c r="BB17" s="20"/>
      <c r="BC17" s="20" t="s">
        <v>97</v>
      </c>
      <c r="BD17" s="17"/>
      <c r="BE17" s="17">
        <v>350</v>
      </c>
      <c r="BF17" s="16">
        <f t="shared" si="9"/>
        <v>0</v>
      </c>
      <c r="BG17" s="20"/>
      <c r="BH17" s="20" t="s">
        <v>136</v>
      </c>
      <c r="BI17" s="20">
        <v>20</v>
      </c>
      <c r="BJ17" s="20">
        <v>250</v>
      </c>
      <c r="BK17" s="16">
        <f t="shared" si="10"/>
        <v>5000</v>
      </c>
      <c r="BL17" s="16"/>
      <c r="BM17" s="16" t="s">
        <v>137</v>
      </c>
      <c r="BN17" s="16">
        <v>15</v>
      </c>
      <c r="BO17" s="16">
        <v>250</v>
      </c>
      <c r="BP17" s="16">
        <f t="shared" si="11"/>
        <v>3750</v>
      </c>
      <c r="BQ17" s="16"/>
      <c r="BR17" s="16" t="s">
        <v>138</v>
      </c>
      <c r="BS17" s="16"/>
      <c r="BT17" s="16">
        <v>35000</v>
      </c>
      <c r="BU17" s="16">
        <f t="shared" si="12"/>
        <v>0</v>
      </c>
      <c r="BV17" s="16"/>
      <c r="BW17" s="16" t="s">
        <v>139</v>
      </c>
      <c r="BX17" s="16">
        <v>1</v>
      </c>
      <c r="BY17" s="16">
        <v>104500</v>
      </c>
      <c r="BZ17" s="20">
        <f t="shared" si="13"/>
        <v>104500</v>
      </c>
      <c r="CA17" s="16"/>
      <c r="CB17" s="16"/>
      <c r="CC17" s="16"/>
      <c r="CD17" s="16"/>
      <c r="CE17" s="16">
        <f t="shared" si="14"/>
        <v>0</v>
      </c>
      <c r="CF17" s="16"/>
      <c r="CG17" s="16" t="s">
        <v>65</v>
      </c>
      <c r="CH17" s="16"/>
      <c r="CI17" s="23">
        <v>1000</v>
      </c>
      <c r="CJ17" s="23">
        <f t="shared" si="15"/>
        <v>0</v>
      </c>
      <c r="CK17" s="20"/>
      <c r="CL17" s="20"/>
      <c r="CM17" s="20"/>
      <c r="CN17" s="20"/>
      <c r="CO17" s="23">
        <f t="shared" si="16"/>
        <v>0</v>
      </c>
      <c r="CP17" s="16"/>
      <c r="CQ17" s="16" t="s">
        <v>140</v>
      </c>
      <c r="CR17" s="16">
        <v>50</v>
      </c>
      <c r="CS17" s="16">
        <v>150</v>
      </c>
      <c r="CT17" s="23">
        <f t="shared" si="17"/>
        <v>7500</v>
      </c>
      <c r="CU17" s="20"/>
      <c r="CV17" s="20" t="s">
        <v>83</v>
      </c>
      <c r="CW17" s="20"/>
      <c r="CX17" s="20">
        <v>3300</v>
      </c>
      <c r="CY17" s="23">
        <f t="shared" si="18"/>
        <v>0</v>
      </c>
      <c r="CZ17" s="20"/>
      <c r="DA17" s="20" t="s">
        <v>55</v>
      </c>
      <c r="DB17" s="20"/>
      <c r="DC17" s="20">
        <v>1000</v>
      </c>
      <c r="DD17" s="23">
        <f t="shared" si="19"/>
        <v>0</v>
      </c>
      <c r="DE17" s="16"/>
      <c r="DF17" s="16" t="s">
        <v>87</v>
      </c>
      <c r="DG17" s="16">
        <v>2</v>
      </c>
      <c r="DH17" s="16">
        <v>1550</v>
      </c>
      <c r="DI17" s="16">
        <f t="shared" si="20"/>
        <v>3100</v>
      </c>
      <c r="DJ17" s="20"/>
      <c r="DK17" s="20" t="s">
        <v>141</v>
      </c>
      <c r="DL17" s="20">
        <v>10</v>
      </c>
      <c r="DM17" s="20">
        <v>250</v>
      </c>
      <c r="DN17" s="16">
        <f t="shared" si="21"/>
        <v>2500</v>
      </c>
      <c r="DO17" s="20"/>
      <c r="DP17" s="20" t="s">
        <v>57</v>
      </c>
      <c r="DQ17" s="20">
        <v>2</v>
      </c>
      <c r="DR17" s="20">
        <v>4000</v>
      </c>
      <c r="DS17" s="16">
        <f t="shared" si="22"/>
        <v>8000</v>
      </c>
      <c r="DT17" s="20"/>
      <c r="DU17" s="20" t="s">
        <v>142</v>
      </c>
      <c r="DV17" s="20">
        <v>20</v>
      </c>
      <c r="DW17" s="20">
        <v>250</v>
      </c>
      <c r="DX17" s="24">
        <f t="shared" si="23"/>
        <v>5000</v>
      </c>
    </row>
    <row r="18" spans="1:128" s="2" customFormat="1" x14ac:dyDescent="0.3">
      <c r="A18" s="20"/>
      <c r="B18" s="16" t="str">
        <f>AS8</f>
        <v>LABORAT</v>
      </c>
      <c r="C18" s="16">
        <f>AV37</f>
        <v>194800</v>
      </c>
      <c r="D18" s="17"/>
      <c r="E18" s="20" t="s">
        <v>143</v>
      </c>
      <c r="F18" s="17"/>
      <c r="G18" s="17">
        <v>15000</v>
      </c>
      <c r="H18" s="16">
        <f t="shared" si="0"/>
        <v>0</v>
      </c>
      <c r="I18" s="19"/>
      <c r="J18" s="16" t="s">
        <v>144</v>
      </c>
      <c r="K18" s="19"/>
      <c r="L18" s="19">
        <v>700</v>
      </c>
      <c r="M18" s="16">
        <f t="shared" si="1"/>
        <v>0</v>
      </c>
      <c r="N18" s="17"/>
      <c r="O18" s="20" t="s">
        <v>134</v>
      </c>
      <c r="P18" s="21">
        <v>10</v>
      </c>
      <c r="Q18" s="19">
        <v>8500</v>
      </c>
      <c r="R18" s="16">
        <f t="shared" si="2"/>
        <v>85000</v>
      </c>
      <c r="S18" s="20"/>
      <c r="T18" s="20" t="s">
        <v>131</v>
      </c>
      <c r="U18" s="20">
        <v>50</v>
      </c>
      <c r="V18" s="20">
        <v>250</v>
      </c>
      <c r="W18" s="16">
        <f t="shared" si="3"/>
        <v>12500</v>
      </c>
      <c r="X18" s="16"/>
      <c r="Y18" s="16"/>
      <c r="Z18" s="16"/>
      <c r="AA18" s="16"/>
      <c r="AB18" s="16">
        <f t="shared" si="24"/>
        <v>0</v>
      </c>
      <c r="AC18" s="20"/>
      <c r="AD18" s="20" t="s">
        <v>145</v>
      </c>
      <c r="AE18" s="20"/>
      <c r="AF18" s="16">
        <v>3500</v>
      </c>
      <c r="AG18" s="16">
        <f t="shared" si="4"/>
        <v>0</v>
      </c>
      <c r="AH18" s="16"/>
      <c r="AI18" s="16" t="s">
        <v>57</v>
      </c>
      <c r="AJ18" s="22">
        <v>3</v>
      </c>
      <c r="AK18" s="19">
        <v>4000</v>
      </c>
      <c r="AL18" s="16">
        <f t="shared" si="5"/>
        <v>12000</v>
      </c>
      <c r="AM18" s="16"/>
      <c r="AN18" s="16" t="s">
        <v>65</v>
      </c>
      <c r="AO18" s="16"/>
      <c r="AP18" s="16">
        <v>950</v>
      </c>
      <c r="AQ18" s="16">
        <f t="shared" si="6"/>
        <v>0</v>
      </c>
      <c r="AR18" s="16"/>
      <c r="AS18" s="16" t="s">
        <v>90</v>
      </c>
      <c r="AT18" s="16"/>
      <c r="AU18" s="16">
        <v>7000</v>
      </c>
      <c r="AV18" s="16">
        <f t="shared" si="7"/>
        <v>0</v>
      </c>
      <c r="AW18" s="16"/>
      <c r="AX18" s="16" t="s">
        <v>146</v>
      </c>
      <c r="AY18" s="16"/>
      <c r="AZ18" s="16">
        <v>7000</v>
      </c>
      <c r="BA18" s="16">
        <f t="shared" si="8"/>
        <v>0</v>
      </c>
      <c r="BB18" s="20"/>
      <c r="BC18" s="20" t="s">
        <v>147</v>
      </c>
      <c r="BD18" s="17">
        <v>20</v>
      </c>
      <c r="BE18" s="17">
        <v>250</v>
      </c>
      <c r="BF18" s="16">
        <f t="shared" si="9"/>
        <v>5000</v>
      </c>
      <c r="BG18" s="20"/>
      <c r="BH18" s="20" t="s">
        <v>141</v>
      </c>
      <c r="BI18" s="20">
        <v>10</v>
      </c>
      <c r="BJ18" s="20">
        <v>250</v>
      </c>
      <c r="BK18" s="16">
        <f t="shared" si="10"/>
        <v>2500</v>
      </c>
      <c r="BL18" s="16"/>
      <c r="BM18" s="16" t="s">
        <v>148</v>
      </c>
      <c r="BN18" s="16">
        <v>15</v>
      </c>
      <c r="BO18" s="16">
        <v>250</v>
      </c>
      <c r="BP18" s="16">
        <f t="shared" si="11"/>
        <v>3750</v>
      </c>
      <c r="BQ18" s="16"/>
      <c r="BR18" s="16" t="s">
        <v>149</v>
      </c>
      <c r="BS18" s="16"/>
      <c r="BT18" s="16">
        <v>57500</v>
      </c>
      <c r="BU18" s="16">
        <f t="shared" si="12"/>
        <v>0</v>
      </c>
      <c r="BV18" s="16"/>
      <c r="BW18" s="16" t="s">
        <v>65</v>
      </c>
      <c r="BX18" s="16"/>
      <c r="BY18" s="16">
        <v>950</v>
      </c>
      <c r="BZ18" s="20">
        <f t="shared" si="13"/>
        <v>0</v>
      </c>
      <c r="CA18" s="16"/>
      <c r="CB18" s="16"/>
      <c r="CC18" s="16"/>
      <c r="CD18" s="16"/>
      <c r="CE18" s="16">
        <f t="shared" si="14"/>
        <v>0</v>
      </c>
      <c r="CF18" s="16"/>
      <c r="CG18" s="16" t="s">
        <v>57</v>
      </c>
      <c r="CH18" s="16"/>
      <c r="CI18" s="23">
        <v>4000</v>
      </c>
      <c r="CJ18" s="23">
        <f t="shared" si="15"/>
        <v>0</v>
      </c>
      <c r="CK18" s="20"/>
      <c r="CL18" s="20"/>
      <c r="CM18" s="20"/>
      <c r="CN18" s="20"/>
      <c r="CO18" s="23">
        <f t="shared" si="16"/>
        <v>0</v>
      </c>
      <c r="CP18" s="16"/>
      <c r="CQ18" s="16" t="s">
        <v>57</v>
      </c>
      <c r="CR18" s="16">
        <v>2</v>
      </c>
      <c r="CS18" s="16">
        <v>4000</v>
      </c>
      <c r="CT18" s="23">
        <f t="shared" si="17"/>
        <v>8000</v>
      </c>
      <c r="CU18" s="20"/>
      <c r="CV18" s="20" t="s">
        <v>88</v>
      </c>
      <c r="CW18" s="20"/>
      <c r="CX18" s="20">
        <v>2500</v>
      </c>
      <c r="CY18" s="23">
        <f t="shared" si="18"/>
        <v>0</v>
      </c>
      <c r="CZ18" s="20"/>
      <c r="DA18" s="20" t="s">
        <v>150</v>
      </c>
      <c r="DB18" s="20"/>
      <c r="DC18" s="20">
        <v>20000</v>
      </c>
      <c r="DD18" s="23">
        <f t="shared" si="19"/>
        <v>0</v>
      </c>
      <c r="DE18" s="16"/>
      <c r="DF18" s="16" t="s">
        <v>69</v>
      </c>
      <c r="DG18" s="16"/>
      <c r="DH18" s="16">
        <v>83000</v>
      </c>
      <c r="DI18" s="16">
        <f t="shared" si="20"/>
        <v>0</v>
      </c>
      <c r="DJ18" s="20"/>
      <c r="DK18" s="20" t="s">
        <v>151</v>
      </c>
      <c r="DL18" s="20">
        <v>10</v>
      </c>
      <c r="DM18" s="20">
        <v>250</v>
      </c>
      <c r="DN18" s="16">
        <f t="shared" si="21"/>
        <v>2500</v>
      </c>
      <c r="DO18" s="20"/>
      <c r="DP18" s="20" t="s">
        <v>152</v>
      </c>
      <c r="DQ18" s="20"/>
      <c r="DR18" s="20">
        <v>3000</v>
      </c>
      <c r="DS18" s="16">
        <f t="shared" si="22"/>
        <v>0</v>
      </c>
      <c r="DT18" s="20"/>
      <c r="DU18" s="20" t="s">
        <v>136</v>
      </c>
      <c r="DV18" s="20">
        <v>20</v>
      </c>
      <c r="DW18" s="20">
        <v>250</v>
      </c>
      <c r="DX18" s="24">
        <f t="shared" si="23"/>
        <v>5000</v>
      </c>
    </row>
    <row r="19" spans="1:128" s="2" customFormat="1" x14ac:dyDescent="0.3">
      <c r="A19" s="20"/>
      <c r="B19" s="16" t="str">
        <f>AX8</f>
        <v>OK</v>
      </c>
      <c r="C19" s="16">
        <f>BA37</f>
        <v>123500</v>
      </c>
      <c r="D19" s="17"/>
      <c r="E19" s="20" t="s">
        <v>153</v>
      </c>
      <c r="F19" s="17"/>
      <c r="G19" s="17">
        <v>40000</v>
      </c>
      <c r="H19" s="16">
        <f t="shared" si="0"/>
        <v>0</v>
      </c>
      <c r="I19" s="19"/>
      <c r="J19" s="16" t="s">
        <v>147</v>
      </c>
      <c r="K19" s="19"/>
      <c r="L19" s="19">
        <v>250</v>
      </c>
      <c r="M19" s="16">
        <f t="shared" si="1"/>
        <v>0</v>
      </c>
      <c r="N19" s="17"/>
      <c r="O19" s="20" t="s">
        <v>154</v>
      </c>
      <c r="P19" s="21">
        <v>10</v>
      </c>
      <c r="Q19" s="19">
        <v>15000</v>
      </c>
      <c r="R19" s="16">
        <f t="shared" si="2"/>
        <v>150000</v>
      </c>
      <c r="S19" s="20"/>
      <c r="T19" s="20" t="s">
        <v>68</v>
      </c>
      <c r="U19" s="20"/>
      <c r="V19" s="20">
        <v>7000</v>
      </c>
      <c r="W19" s="16">
        <f t="shared" si="3"/>
        <v>0</v>
      </c>
      <c r="X19" s="16"/>
      <c r="Y19" s="16"/>
      <c r="Z19" s="16"/>
      <c r="AA19" s="16"/>
      <c r="AB19" s="16">
        <f t="shared" si="24"/>
        <v>0</v>
      </c>
      <c r="AC19" s="20"/>
      <c r="AD19" s="20" t="s">
        <v>90</v>
      </c>
      <c r="AE19" s="20">
        <v>1</v>
      </c>
      <c r="AF19" s="16">
        <v>7000</v>
      </c>
      <c r="AG19" s="16">
        <f t="shared" si="4"/>
        <v>7000</v>
      </c>
      <c r="AH19" s="16"/>
      <c r="AI19" s="16" t="s">
        <v>90</v>
      </c>
      <c r="AJ19" s="22">
        <v>1</v>
      </c>
      <c r="AK19" s="19">
        <v>7000</v>
      </c>
      <c r="AL19" s="16">
        <f t="shared" si="5"/>
        <v>7000</v>
      </c>
      <c r="AM19" s="16"/>
      <c r="AN19" s="16" t="s">
        <v>155</v>
      </c>
      <c r="AO19" s="16"/>
      <c r="AP19" s="16">
        <v>5000</v>
      </c>
      <c r="AQ19" s="16">
        <f t="shared" si="6"/>
        <v>0</v>
      </c>
      <c r="AR19" s="16"/>
      <c r="AS19" s="16" t="s">
        <v>156</v>
      </c>
      <c r="AT19" s="16">
        <v>1</v>
      </c>
      <c r="AU19" s="16">
        <v>7000</v>
      </c>
      <c r="AV19" s="16">
        <f t="shared" si="7"/>
        <v>7000</v>
      </c>
      <c r="AW19" s="16"/>
      <c r="AX19" s="16" t="s">
        <v>157</v>
      </c>
      <c r="AY19" s="16"/>
      <c r="AZ19" s="16">
        <v>15000</v>
      </c>
      <c r="BA19" s="16">
        <f t="shared" si="8"/>
        <v>0</v>
      </c>
      <c r="BB19" s="20"/>
      <c r="BC19" s="20" t="s">
        <v>68</v>
      </c>
      <c r="BD19" s="17"/>
      <c r="BE19" s="17">
        <v>9000</v>
      </c>
      <c r="BF19" s="16">
        <f t="shared" si="9"/>
        <v>0</v>
      </c>
      <c r="BG19" s="20"/>
      <c r="BH19" s="20" t="s">
        <v>158</v>
      </c>
      <c r="BI19" s="20">
        <v>2</v>
      </c>
      <c r="BJ19" s="20">
        <v>5000</v>
      </c>
      <c r="BK19" s="16">
        <f t="shared" si="10"/>
        <v>10000</v>
      </c>
      <c r="BL19" s="16"/>
      <c r="BM19" s="16" t="s">
        <v>68</v>
      </c>
      <c r="BN19" s="16"/>
      <c r="BO19" s="16">
        <v>7000</v>
      </c>
      <c r="BP19" s="16">
        <f t="shared" si="11"/>
        <v>0</v>
      </c>
      <c r="BQ19" s="16"/>
      <c r="BR19" s="16" t="s">
        <v>159</v>
      </c>
      <c r="BS19" s="16"/>
      <c r="BT19" s="16">
        <v>23000</v>
      </c>
      <c r="BU19" s="16">
        <f t="shared" si="12"/>
        <v>0</v>
      </c>
      <c r="BV19" s="16"/>
      <c r="BW19" s="16" t="s">
        <v>152</v>
      </c>
      <c r="BX19" s="16"/>
      <c r="BY19" s="16">
        <v>3000</v>
      </c>
      <c r="BZ19" s="20">
        <f t="shared" si="13"/>
        <v>0</v>
      </c>
      <c r="CA19" s="16"/>
      <c r="CB19" s="16"/>
      <c r="CC19" s="16"/>
      <c r="CD19" s="16"/>
      <c r="CE19" s="16">
        <f t="shared" si="14"/>
        <v>0</v>
      </c>
      <c r="CF19" s="16"/>
      <c r="CG19" s="16" t="s">
        <v>160</v>
      </c>
      <c r="CH19" s="16"/>
      <c r="CI19" s="23">
        <v>250</v>
      </c>
      <c r="CJ19" s="23">
        <f t="shared" si="15"/>
        <v>0</v>
      </c>
      <c r="CK19" s="20"/>
      <c r="CL19" s="20"/>
      <c r="CM19" s="20"/>
      <c r="CN19" s="20"/>
      <c r="CO19" s="23">
        <f t="shared" si="16"/>
        <v>0</v>
      </c>
      <c r="CP19" s="16"/>
      <c r="CQ19" s="16" t="s">
        <v>161</v>
      </c>
      <c r="CR19" s="16"/>
      <c r="CS19" s="16">
        <v>15000</v>
      </c>
      <c r="CT19" s="23">
        <f t="shared" si="17"/>
        <v>0</v>
      </c>
      <c r="CU19" s="20"/>
      <c r="CV19" s="20" t="s">
        <v>90</v>
      </c>
      <c r="CW19" s="20"/>
      <c r="CX19" s="20">
        <v>7000</v>
      </c>
      <c r="CY19" s="23">
        <f t="shared" si="18"/>
        <v>0</v>
      </c>
      <c r="CZ19" s="20"/>
      <c r="DA19" s="20" t="s">
        <v>147</v>
      </c>
      <c r="DB19" s="20"/>
      <c r="DC19" s="20">
        <v>250</v>
      </c>
      <c r="DD19" s="23">
        <f t="shared" si="19"/>
        <v>0</v>
      </c>
      <c r="DE19" s="16"/>
      <c r="DF19" s="16" t="s">
        <v>113</v>
      </c>
      <c r="DG19" s="16">
        <v>1</v>
      </c>
      <c r="DH19" s="16">
        <v>5000</v>
      </c>
      <c r="DI19" s="16">
        <f t="shared" si="20"/>
        <v>5000</v>
      </c>
      <c r="DJ19" s="20"/>
      <c r="DK19" s="20" t="s">
        <v>162</v>
      </c>
      <c r="DL19" s="20">
        <v>15</v>
      </c>
      <c r="DM19" s="20">
        <v>250</v>
      </c>
      <c r="DN19" s="16">
        <f t="shared" si="21"/>
        <v>3750</v>
      </c>
      <c r="DO19" s="20"/>
      <c r="DP19" s="20" t="s">
        <v>87</v>
      </c>
      <c r="DQ19" s="20"/>
      <c r="DR19" s="20">
        <v>1550</v>
      </c>
      <c r="DS19" s="16">
        <f t="shared" si="22"/>
        <v>0</v>
      </c>
      <c r="DT19" s="20"/>
      <c r="DU19" s="20" t="s">
        <v>54</v>
      </c>
      <c r="DV19" s="20"/>
      <c r="DW19" s="20">
        <v>450</v>
      </c>
      <c r="DX19" s="24">
        <f t="shared" si="23"/>
        <v>0</v>
      </c>
    </row>
    <row r="20" spans="1:128" s="2" customFormat="1" x14ac:dyDescent="0.3">
      <c r="A20" s="20"/>
      <c r="B20" s="16" t="str">
        <f>BC8</f>
        <v>VK</v>
      </c>
      <c r="C20" s="16">
        <f>BF37</f>
        <v>92500</v>
      </c>
      <c r="D20" s="17"/>
      <c r="E20" s="20" t="s">
        <v>163</v>
      </c>
      <c r="F20" s="17"/>
      <c r="G20" s="17">
        <v>250</v>
      </c>
      <c r="H20" s="16">
        <f t="shared" si="0"/>
        <v>0</v>
      </c>
      <c r="I20" s="19"/>
      <c r="J20" s="16" t="s">
        <v>164</v>
      </c>
      <c r="K20" s="19"/>
      <c r="L20" s="19">
        <v>15000</v>
      </c>
      <c r="M20" s="16">
        <f t="shared" si="1"/>
        <v>0</v>
      </c>
      <c r="N20" s="17"/>
      <c r="O20" s="20" t="s">
        <v>165</v>
      </c>
      <c r="P20" s="21">
        <v>50</v>
      </c>
      <c r="Q20" s="19">
        <v>250</v>
      </c>
      <c r="R20" s="16">
        <f t="shared" si="2"/>
        <v>12500</v>
      </c>
      <c r="S20" s="20"/>
      <c r="T20" s="20" t="s">
        <v>57</v>
      </c>
      <c r="U20" s="20">
        <v>1</v>
      </c>
      <c r="V20" s="20">
        <v>4000</v>
      </c>
      <c r="W20" s="16">
        <f t="shared" si="3"/>
        <v>4000</v>
      </c>
      <c r="X20" s="16"/>
      <c r="Y20" s="16"/>
      <c r="Z20" s="16"/>
      <c r="AA20" s="16"/>
      <c r="AB20" s="16">
        <f t="shared" si="24"/>
        <v>0</v>
      </c>
      <c r="AC20" s="20"/>
      <c r="AD20" s="20" t="s">
        <v>166</v>
      </c>
      <c r="AE20" s="20">
        <v>1</v>
      </c>
      <c r="AF20" s="16">
        <v>28000</v>
      </c>
      <c r="AG20" s="16">
        <f t="shared" si="4"/>
        <v>28000</v>
      </c>
      <c r="AH20" s="16"/>
      <c r="AI20" s="16" t="s">
        <v>167</v>
      </c>
      <c r="AJ20" s="22">
        <v>1</v>
      </c>
      <c r="AK20" s="19">
        <v>250</v>
      </c>
      <c r="AL20" s="16">
        <f t="shared" si="5"/>
        <v>250</v>
      </c>
      <c r="AM20" s="16"/>
      <c r="AN20" s="16" t="s">
        <v>168</v>
      </c>
      <c r="AO20" s="16"/>
      <c r="AP20" s="16">
        <v>15000</v>
      </c>
      <c r="AQ20" s="16">
        <f t="shared" si="6"/>
        <v>0</v>
      </c>
      <c r="AR20" s="16"/>
      <c r="AS20" s="16" t="s">
        <v>169</v>
      </c>
      <c r="AT20" s="16">
        <v>1</v>
      </c>
      <c r="AU20" s="16">
        <v>10000</v>
      </c>
      <c r="AV20" s="16">
        <f t="shared" si="7"/>
        <v>10000</v>
      </c>
      <c r="AW20" s="16"/>
      <c r="AX20" s="16" t="s">
        <v>170</v>
      </c>
      <c r="AY20" s="16"/>
      <c r="AZ20" s="16">
        <v>35000</v>
      </c>
      <c r="BA20" s="16">
        <f t="shared" si="8"/>
        <v>0</v>
      </c>
      <c r="BB20" s="20"/>
      <c r="BC20" s="20" t="s">
        <v>57</v>
      </c>
      <c r="BD20" s="17">
        <v>1</v>
      </c>
      <c r="BE20" s="17">
        <v>4000</v>
      </c>
      <c r="BF20" s="16">
        <f t="shared" si="9"/>
        <v>4000</v>
      </c>
      <c r="BG20" s="20"/>
      <c r="BH20" s="20" t="s">
        <v>68</v>
      </c>
      <c r="BI20" s="20"/>
      <c r="BJ20" s="20">
        <v>9000</v>
      </c>
      <c r="BK20" s="16">
        <f t="shared" si="10"/>
        <v>0</v>
      </c>
      <c r="BL20" s="16"/>
      <c r="BM20" s="16" t="s">
        <v>57</v>
      </c>
      <c r="BN20" s="16">
        <v>2</v>
      </c>
      <c r="BO20" s="16">
        <v>4000</v>
      </c>
      <c r="BP20" s="16">
        <f t="shared" si="11"/>
        <v>8000</v>
      </c>
      <c r="BQ20" s="16"/>
      <c r="BR20" s="16" t="s">
        <v>171</v>
      </c>
      <c r="BS20" s="16"/>
      <c r="BT20" s="16">
        <v>15000</v>
      </c>
      <c r="BU20" s="16">
        <f t="shared" si="12"/>
        <v>0</v>
      </c>
      <c r="BV20" s="16"/>
      <c r="BW20" s="16"/>
      <c r="BX20" s="16"/>
      <c r="BY20" s="16"/>
      <c r="BZ20" s="20">
        <f t="shared" si="13"/>
        <v>0</v>
      </c>
      <c r="CA20" s="16"/>
      <c r="CB20" s="16"/>
      <c r="CC20" s="16"/>
      <c r="CD20" s="16"/>
      <c r="CE20" s="16">
        <f t="shared" si="14"/>
        <v>0</v>
      </c>
      <c r="CF20" s="16"/>
      <c r="CG20" s="16" t="s">
        <v>57</v>
      </c>
      <c r="CH20" s="16">
        <v>1</v>
      </c>
      <c r="CI20" s="23">
        <v>4000</v>
      </c>
      <c r="CJ20" s="23">
        <f t="shared" si="15"/>
        <v>4000</v>
      </c>
      <c r="CK20" s="20"/>
      <c r="CL20" s="20"/>
      <c r="CM20" s="20"/>
      <c r="CN20" s="20"/>
      <c r="CO20" s="23">
        <f t="shared" si="16"/>
        <v>0</v>
      </c>
      <c r="CP20" s="16"/>
      <c r="CQ20" s="16" t="s">
        <v>107</v>
      </c>
      <c r="CR20" s="16">
        <v>2</v>
      </c>
      <c r="CS20" s="16">
        <v>11000</v>
      </c>
      <c r="CT20" s="23">
        <f t="shared" si="17"/>
        <v>22000</v>
      </c>
      <c r="CU20" s="20"/>
      <c r="CV20" s="20" t="s">
        <v>55</v>
      </c>
      <c r="CW20" s="20"/>
      <c r="CX20" s="20">
        <v>1000</v>
      </c>
      <c r="CY20" s="23">
        <f t="shared" si="18"/>
        <v>0</v>
      </c>
      <c r="CZ20" s="20"/>
      <c r="DA20" s="20" t="s">
        <v>172</v>
      </c>
      <c r="DB20" s="20"/>
      <c r="DC20" s="20">
        <v>250</v>
      </c>
      <c r="DD20" s="23">
        <f t="shared" si="19"/>
        <v>0</v>
      </c>
      <c r="DE20" s="16"/>
      <c r="DF20" s="16" t="s">
        <v>173</v>
      </c>
      <c r="DG20" s="16"/>
      <c r="DH20" s="16">
        <v>15000</v>
      </c>
      <c r="DI20" s="16">
        <f t="shared" si="20"/>
        <v>0</v>
      </c>
      <c r="DJ20" s="20"/>
      <c r="DK20" s="20" t="s">
        <v>68</v>
      </c>
      <c r="DM20" s="20">
        <v>9000</v>
      </c>
      <c r="DN20" s="16">
        <f t="shared" si="21"/>
        <v>0</v>
      </c>
      <c r="DO20" s="20"/>
      <c r="DP20" s="20" t="s">
        <v>136</v>
      </c>
      <c r="DQ20" s="20">
        <v>10</v>
      </c>
      <c r="DR20" s="20">
        <v>250</v>
      </c>
      <c r="DS20" s="16">
        <f t="shared" si="22"/>
        <v>2500</v>
      </c>
      <c r="DT20" s="20"/>
      <c r="DU20" s="20" t="s">
        <v>83</v>
      </c>
      <c r="DV20" s="20"/>
      <c r="DW20" s="20">
        <v>3300</v>
      </c>
      <c r="DX20" s="24">
        <f t="shared" si="23"/>
        <v>0</v>
      </c>
    </row>
    <row r="21" spans="1:128" s="2" customFormat="1" x14ac:dyDescent="0.3">
      <c r="A21" s="20"/>
      <c r="B21" s="16" t="str">
        <f>BH8</f>
        <v>MULTAZAM</v>
      </c>
      <c r="C21" s="16">
        <f>BK37</f>
        <v>281050</v>
      </c>
      <c r="D21" s="17"/>
      <c r="E21" s="20" t="s">
        <v>174</v>
      </c>
      <c r="F21" s="17"/>
      <c r="G21" s="17">
        <v>20000</v>
      </c>
      <c r="H21" s="16">
        <f t="shared" si="0"/>
        <v>0</v>
      </c>
      <c r="I21" s="19"/>
      <c r="J21" s="16" t="s">
        <v>175</v>
      </c>
      <c r="K21" s="19">
        <v>50</v>
      </c>
      <c r="L21" s="19">
        <v>350</v>
      </c>
      <c r="M21" s="16">
        <f t="shared" si="1"/>
        <v>17500</v>
      </c>
      <c r="N21" s="17"/>
      <c r="O21" s="20" t="s">
        <v>176</v>
      </c>
      <c r="P21" s="21">
        <v>10</v>
      </c>
      <c r="Q21" s="19">
        <v>5000</v>
      </c>
      <c r="R21" s="16">
        <f t="shared" si="2"/>
        <v>50000</v>
      </c>
      <c r="S21" s="20"/>
      <c r="T21" s="20" t="s">
        <v>90</v>
      </c>
      <c r="U21" s="20">
        <v>1</v>
      </c>
      <c r="V21" s="20">
        <v>7000</v>
      </c>
      <c r="W21" s="16">
        <f t="shared" si="3"/>
        <v>7000</v>
      </c>
      <c r="X21" s="16"/>
      <c r="Y21" s="16"/>
      <c r="Z21" s="16"/>
      <c r="AA21" s="16"/>
      <c r="AB21" s="16">
        <f t="shared" si="24"/>
        <v>0</v>
      </c>
      <c r="AC21" s="20"/>
      <c r="AD21" s="20" t="s">
        <v>177</v>
      </c>
      <c r="AE21" s="20">
        <v>1</v>
      </c>
      <c r="AF21" s="16">
        <v>39000</v>
      </c>
      <c r="AG21" s="16">
        <f t="shared" si="4"/>
        <v>39000</v>
      </c>
      <c r="AH21" s="16"/>
      <c r="AI21" s="20" t="s">
        <v>143</v>
      </c>
      <c r="AJ21" s="17"/>
      <c r="AK21" s="17">
        <v>15000</v>
      </c>
      <c r="AL21" s="16">
        <f t="shared" si="5"/>
        <v>0</v>
      </c>
      <c r="AM21" s="16"/>
      <c r="AN21" s="16" t="s">
        <v>178</v>
      </c>
      <c r="AO21" s="16"/>
      <c r="AP21" s="16">
        <v>250</v>
      </c>
      <c r="AQ21" s="16">
        <f t="shared" si="6"/>
        <v>0</v>
      </c>
      <c r="AR21" s="16"/>
      <c r="AS21" s="16" t="s">
        <v>179</v>
      </c>
      <c r="AT21" s="16"/>
      <c r="AU21" s="16">
        <v>35000</v>
      </c>
      <c r="AV21" s="16">
        <f t="shared" si="7"/>
        <v>0</v>
      </c>
      <c r="AW21" s="16"/>
      <c r="AX21" s="16" t="s">
        <v>180</v>
      </c>
      <c r="AY21" s="16"/>
      <c r="AZ21" s="16">
        <v>250</v>
      </c>
      <c r="BA21" s="16">
        <f t="shared" si="8"/>
        <v>0</v>
      </c>
      <c r="BB21" s="20"/>
      <c r="BC21" s="20" t="s">
        <v>181</v>
      </c>
      <c r="BD21" s="17">
        <v>20</v>
      </c>
      <c r="BE21" s="17">
        <v>350</v>
      </c>
      <c r="BF21" s="16">
        <f t="shared" si="9"/>
        <v>7000</v>
      </c>
      <c r="BG21" s="20"/>
      <c r="BH21" s="20" t="s">
        <v>57</v>
      </c>
      <c r="BI21" s="20">
        <v>1</v>
      </c>
      <c r="BJ21" s="20">
        <v>4000</v>
      </c>
      <c r="BK21" s="16">
        <f t="shared" si="10"/>
        <v>4000</v>
      </c>
      <c r="BL21" s="16"/>
      <c r="BM21" s="16" t="s">
        <v>90</v>
      </c>
      <c r="BN21" s="16"/>
      <c r="BO21" s="16">
        <v>7000</v>
      </c>
      <c r="BP21" s="16">
        <f t="shared" si="11"/>
        <v>0</v>
      </c>
      <c r="BQ21" s="16"/>
      <c r="BR21" s="16" t="s">
        <v>182</v>
      </c>
      <c r="BS21" s="16"/>
      <c r="BT21" s="16">
        <v>38000</v>
      </c>
      <c r="BU21" s="16">
        <f t="shared" si="12"/>
        <v>0</v>
      </c>
      <c r="BV21" s="16"/>
      <c r="BW21" s="16"/>
      <c r="BX21" s="16"/>
      <c r="BY21" s="16"/>
      <c r="BZ21" s="20">
        <f t="shared" si="13"/>
        <v>0</v>
      </c>
      <c r="CA21" s="16"/>
      <c r="CB21" s="16"/>
      <c r="CC21" s="16"/>
      <c r="CD21" s="16"/>
      <c r="CE21" s="16">
        <f t="shared" si="14"/>
        <v>0</v>
      </c>
      <c r="CF21" s="16"/>
      <c r="CG21" s="16" t="s">
        <v>160</v>
      </c>
      <c r="CH21" s="16"/>
      <c r="CI21" s="23">
        <v>250</v>
      </c>
      <c r="CJ21" s="23">
        <f t="shared" si="15"/>
        <v>0</v>
      </c>
      <c r="CK21" s="20"/>
      <c r="CL21" s="20"/>
      <c r="CM21" s="20"/>
      <c r="CN21" s="20"/>
      <c r="CO21" s="23">
        <f t="shared" si="16"/>
        <v>0</v>
      </c>
      <c r="CP21" s="16"/>
      <c r="CQ21" s="16" t="s">
        <v>135</v>
      </c>
      <c r="CR21" s="16"/>
      <c r="CS21" s="16">
        <v>6500</v>
      </c>
      <c r="CT21" s="23">
        <f t="shared" si="17"/>
        <v>0</v>
      </c>
      <c r="CU21" s="20"/>
      <c r="CV21" s="20" t="s">
        <v>183</v>
      </c>
      <c r="CW21" s="20"/>
      <c r="CX21" s="20">
        <v>250</v>
      </c>
      <c r="CY21" s="23">
        <f t="shared" si="18"/>
        <v>0</v>
      </c>
      <c r="CZ21" s="20"/>
      <c r="DA21" s="16" t="s">
        <v>184</v>
      </c>
      <c r="DB21" s="27"/>
      <c r="DC21" s="19">
        <v>3000</v>
      </c>
      <c r="DD21" s="23">
        <f t="shared" si="19"/>
        <v>0</v>
      </c>
      <c r="DE21" s="16"/>
      <c r="DF21" s="16" t="s">
        <v>185</v>
      </c>
      <c r="DG21" s="16"/>
      <c r="DH21" s="16">
        <v>15000</v>
      </c>
      <c r="DI21" s="16">
        <f t="shared" si="20"/>
        <v>0</v>
      </c>
      <c r="DJ21" s="20"/>
      <c r="DK21" s="20" t="s">
        <v>57</v>
      </c>
      <c r="DL21" s="20">
        <v>2</v>
      </c>
      <c r="DM21" s="20">
        <v>4000</v>
      </c>
      <c r="DN21" s="16">
        <f t="shared" si="21"/>
        <v>8000</v>
      </c>
      <c r="DO21" s="20"/>
      <c r="DP21" s="20" t="s">
        <v>152</v>
      </c>
      <c r="DQ21" s="20"/>
      <c r="DR21" s="20">
        <v>3000</v>
      </c>
      <c r="DS21" s="16">
        <f t="shared" si="22"/>
        <v>0</v>
      </c>
      <c r="DT21" s="20"/>
      <c r="DU21" s="20" t="s">
        <v>88</v>
      </c>
      <c r="DV21" s="20">
        <v>10</v>
      </c>
      <c r="DW21" s="20">
        <v>2500</v>
      </c>
      <c r="DX21" s="24">
        <f t="shared" si="23"/>
        <v>25000</v>
      </c>
    </row>
    <row r="22" spans="1:128" s="2" customFormat="1" x14ac:dyDescent="0.3">
      <c r="A22" s="20"/>
      <c r="B22" s="16" t="str">
        <f>BM8</f>
        <v>MARWA</v>
      </c>
      <c r="C22" s="16">
        <f>BP37</f>
        <v>212450</v>
      </c>
      <c r="D22" s="17"/>
      <c r="E22" s="20" t="s">
        <v>186</v>
      </c>
      <c r="F22" s="17"/>
      <c r="G22" s="17">
        <v>45000</v>
      </c>
      <c r="H22" s="16">
        <f t="shared" si="0"/>
        <v>0</v>
      </c>
      <c r="I22" s="19"/>
      <c r="J22" s="16" t="s">
        <v>187</v>
      </c>
      <c r="K22" s="19">
        <v>50</v>
      </c>
      <c r="L22" s="19">
        <v>250</v>
      </c>
      <c r="M22" s="16">
        <f t="shared" si="1"/>
        <v>12500</v>
      </c>
      <c r="N22" s="17"/>
      <c r="O22" s="20" t="s">
        <v>50</v>
      </c>
      <c r="P22" s="21"/>
      <c r="Q22" s="19">
        <v>26500</v>
      </c>
      <c r="R22" s="16">
        <f t="shared" si="2"/>
        <v>0</v>
      </c>
      <c r="S22" s="20"/>
      <c r="T22" s="20" t="s">
        <v>188</v>
      </c>
      <c r="U22" s="20"/>
      <c r="V22" s="20">
        <v>250</v>
      </c>
      <c r="W22" s="16">
        <f t="shared" si="3"/>
        <v>0</v>
      </c>
      <c r="X22" s="16"/>
      <c r="Y22" s="16"/>
      <c r="Z22" s="16"/>
      <c r="AA22" s="16"/>
      <c r="AB22" s="16">
        <f t="shared" si="24"/>
        <v>0</v>
      </c>
      <c r="AC22" s="20"/>
      <c r="AD22" s="20" t="s">
        <v>47</v>
      </c>
      <c r="AE22" s="20">
        <v>5</v>
      </c>
      <c r="AF22" s="16">
        <v>4400</v>
      </c>
      <c r="AG22" s="16">
        <f t="shared" si="4"/>
        <v>22000</v>
      </c>
      <c r="AH22" s="16"/>
      <c r="AI22" s="16" t="s">
        <v>189</v>
      </c>
      <c r="AJ22" s="22"/>
      <c r="AK22" s="19">
        <v>17000</v>
      </c>
      <c r="AL22" s="16">
        <f t="shared" si="5"/>
        <v>0</v>
      </c>
      <c r="AM22" s="16"/>
      <c r="AN22" s="20" t="s">
        <v>62</v>
      </c>
      <c r="AO22" s="20">
        <v>1</v>
      </c>
      <c r="AP22" s="20">
        <v>7000</v>
      </c>
      <c r="AQ22" s="16">
        <f t="shared" si="6"/>
        <v>7000</v>
      </c>
      <c r="AR22" s="16"/>
      <c r="AS22" s="16" t="s">
        <v>190</v>
      </c>
      <c r="AT22" s="16"/>
      <c r="AU22" s="16">
        <v>11000</v>
      </c>
      <c r="AV22" s="16">
        <f t="shared" si="7"/>
        <v>0</v>
      </c>
      <c r="AW22" s="16"/>
      <c r="AX22" s="16" t="s">
        <v>191</v>
      </c>
      <c r="AY22" s="16">
        <v>10</v>
      </c>
      <c r="AZ22" s="16">
        <v>250</v>
      </c>
      <c r="BA22" s="16">
        <f t="shared" si="8"/>
        <v>2500</v>
      </c>
      <c r="BB22" s="20"/>
      <c r="BC22" s="20" t="s">
        <v>192</v>
      </c>
      <c r="BD22" s="17">
        <v>20</v>
      </c>
      <c r="BE22" s="17">
        <v>350</v>
      </c>
      <c r="BF22" s="16">
        <f t="shared" si="9"/>
        <v>7000</v>
      </c>
      <c r="BG22" s="20"/>
      <c r="BH22" s="20" t="s">
        <v>90</v>
      </c>
      <c r="BI22" s="20"/>
      <c r="BJ22" s="20">
        <v>7000</v>
      </c>
      <c r="BK22" s="16">
        <f t="shared" si="10"/>
        <v>0</v>
      </c>
      <c r="BL22" s="16"/>
      <c r="BM22" s="16" t="s">
        <v>193</v>
      </c>
      <c r="BN22" s="16"/>
      <c r="BO22" s="16">
        <v>10000</v>
      </c>
      <c r="BP22" s="16">
        <f t="shared" si="11"/>
        <v>0</v>
      </c>
      <c r="BQ22" s="16"/>
      <c r="BR22" s="16"/>
      <c r="BS22" s="16"/>
      <c r="BT22" s="16"/>
      <c r="BU22" s="16">
        <f t="shared" si="12"/>
        <v>0</v>
      </c>
      <c r="BV22" s="16"/>
      <c r="BW22" s="16"/>
      <c r="BX22" s="16"/>
      <c r="BY22" s="16"/>
      <c r="BZ22" s="20">
        <f t="shared" si="13"/>
        <v>0</v>
      </c>
      <c r="CA22" s="16"/>
      <c r="CB22" s="16"/>
      <c r="CC22" s="16"/>
      <c r="CD22" s="16"/>
      <c r="CE22" s="16">
        <f t="shared" si="14"/>
        <v>0</v>
      </c>
      <c r="CF22" s="16"/>
      <c r="CG22" s="16" t="s">
        <v>194</v>
      </c>
      <c r="CH22" s="16"/>
      <c r="CI22" s="23">
        <v>15000</v>
      </c>
      <c r="CJ22" s="23">
        <f t="shared" si="15"/>
        <v>0</v>
      </c>
      <c r="CK22" s="20"/>
      <c r="CL22" s="20"/>
      <c r="CM22" s="20"/>
      <c r="CN22" s="20"/>
      <c r="CO22" s="23">
        <f t="shared" si="16"/>
        <v>0</v>
      </c>
      <c r="CP22" s="16"/>
      <c r="CQ22" s="16" t="s">
        <v>195</v>
      </c>
      <c r="CR22" s="16"/>
      <c r="CS22" s="16">
        <v>2500</v>
      </c>
      <c r="CT22" s="23">
        <f t="shared" si="17"/>
        <v>0</v>
      </c>
      <c r="CU22" s="20"/>
      <c r="CV22" s="20" t="s">
        <v>136</v>
      </c>
      <c r="CW22" s="20"/>
      <c r="CX22" s="20">
        <v>250</v>
      </c>
      <c r="CY22" s="23">
        <f t="shared" si="18"/>
        <v>0</v>
      </c>
      <c r="CZ22" s="20"/>
      <c r="DA22" s="20" t="s">
        <v>196</v>
      </c>
      <c r="DB22" s="20"/>
      <c r="DC22" s="20">
        <v>250</v>
      </c>
      <c r="DD22" s="23">
        <f t="shared" si="19"/>
        <v>0</v>
      </c>
      <c r="DE22" s="16"/>
      <c r="DF22" s="16" t="s">
        <v>90</v>
      </c>
      <c r="DG22" s="16"/>
      <c r="DH22" s="16">
        <v>7000</v>
      </c>
      <c r="DI22" s="16">
        <f t="shared" si="20"/>
        <v>0</v>
      </c>
      <c r="DJ22" s="20"/>
      <c r="DK22" s="20" t="s">
        <v>79</v>
      </c>
      <c r="DL22" s="20">
        <v>10</v>
      </c>
      <c r="DM22" s="20">
        <v>3300</v>
      </c>
      <c r="DN22" s="16">
        <f t="shared" si="21"/>
        <v>33000</v>
      </c>
      <c r="DO22" s="20"/>
      <c r="DP22" s="20" t="s">
        <v>197</v>
      </c>
      <c r="DQ22" s="20"/>
      <c r="DR22" s="20">
        <v>15000</v>
      </c>
      <c r="DS22" s="16">
        <f t="shared" si="22"/>
        <v>0</v>
      </c>
      <c r="DT22" s="20"/>
      <c r="DU22" s="20" t="s">
        <v>69</v>
      </c>
      <c r="DV22" s="20"/>
      <c r="DW22" s="20">
        <v>1000</v>
      </c>
      <c r="DX22" s="24">
        <f t="shared" si="23"/>
        <v>0</v>
      </c>
    </row>
    <row r="23" spans="1:128" s="2" customFormat="1" x14ac:dyDescent="0.3">
      <c r="A23" s="20"/>
      <c r="B23" s="16" t="str">
        <f>BR8</f>
        <v xml:space="preserve">HK </v>
      </c>
      <c r="C23" s="16">
        <f>BU37</f>
        <v>0</v>
      </c>
      <c r="D23" s="17"/>
      <c r="E23" s="20" t="s">
        <v>198</v>
      </c>
      <c r="F23" s="17"/>
      <c r="G23" s="17">
        <v>22000</v>
      </c>
      <c r="H23" s="16">
        <f t="shared" si="0"/>
        <v>0</v>
      </c>
      <c r="I23" s="19"/>
      <c r="J23" s="16" t="s">
        <v>147</v>
      </c>
      <c r="K23" s="19">
        <v>50</v>
      </c>
      <c r="L23" s="19">
        <v>350</v>
      </c>
      <c r="M23" s="16">
        <f t="shared" si="1"/>
        <v>17500</v>
      </c>
      <c r="N23" s="17"/>
      <c r="O23" s="20" t="s">
        <v>68</v>
      </c>
      <c r="P23" s="20"/>
      <c r="Q23" s="20">
        <v>7000</v>
      </c>
      <c r="R23" s="16">
        <f t="shared" si="2"/>
        <v>0</v>
      </c>
      <c r="S23" s="20"/>
      <c r="T23" s="20" t="s">
        <v>199</v>
      </c>
      <c r="U23" s="20"/>
      <c r="V23" s="20">
        <v>250</v>
      </c>
      <c r="W23" s="16">
        <f t="shared" si="3"/>
        <v>0</v>
      </c>
      <c r="X23" s="16"/>
      <c r="Y23" s="16"/>
      <c r="Z23" s="16"/>
      <c r="AA23" s="16"/>
      <c r="AB23" s="16">
        <f t="shared" si="24"/>
        <v>0</v>
      </c>
      <c r="AC23" s="20"/>
      <c r="AD23" s="20" t="s">
        <v>200</v>
      </c>
      <c r="AE23" s="20">
        <v>40</v>
      </c>
      <c r="AF23" s="16">
        <v>2100</v>
      </c>
      <c r="AG23" s="16">
        <f t="shared" si="4"/>
        <v>84000</v>
      </c>
      <c r="AH23" s="16"/>
      <c r="AI23" s="16" t="s">
        <v>164</v>
      </c>
      <c r="AJ23" s="22">
        <v>2</v>
      </c>
      <c r="AK23" s="19">
        <v>15000</v>
      </c>
      <c r="AL23" s="16">
        <f t="shared" si="5"/>
        <v>30000</v>
      </c>
      <c r="AM23" s="16"/>
      <c r="AN23" s="16"/>
      <c r="AO23" s="16"/>
      <c r="AP23" s="16"/>
      <c r="AQ23" s="16">
        <f t="shared" si="6"/>
        <v>0</v>
      </c>
      <c r="AR23" s="16"/>
      <c r="AS23" s="16" t="s">
        <v>201</v>
      </c>
      <c r="AT23" s="16"/>
      <c r="AU23" s="16">
        <v>3500</v>
      </c>
      <c r="AV23" s="16">
        <f t="shared" si="7"/>
        <v>0</v>
      </c>
      <c r="AW23" s="16"/>
      <c r="AX23" s="16" t="s">
        <v>73</v>
      </c>
      <c r="AY23" s="16"/>
      <c r="AZ23" s="16">
        <v>10000</v>
      </c>
      <c r="BA23" s="16">
        <f t="shared" si="8"/>
        <v>0</v>
      </c>
      <c r="BB23" s="20"/>
      <c r="BC23" s="20" t="s">
        <v>202</v>
      </c>
      <c r="BD23" s="17"/>
      <c r="BE23" s="17">
        <v>15000</v>
      </c>
      <c r="BF23" s="16">
        <f t="shared" si="9"/>
        <v>0</v>
      </c>
      <c r="BG23" s="20"/>
      <c r="BH23" s="20" t="s">
        <v>203</v>
      </c>
      <c r="BI23" s="20">
        <v>1</v>
      </c>
      <c r="BJ23" s="20">
        <v>10000</v>
      </c>
      <c r="BK23" s="16">
        <f t="shared" si="10"/>
        <v>10000</v>
      </c>
      <c r="BL23" s="16"/>
      <c r="BM23" s="16" t="s">
        <v>204</v>
      </c>
      <c r="BN23" s="16">
        <v>15</v>
      </c>
      <c r="BO23" s="16">
        <v>250</v>
      </c>
      <c r="BP23" s="16">
        <f t="shared" si="11"/>
        <v>3750</v>
      </c>
      <c r="BQ23" s="16"/>
      <c r="BR23" s="16"/>
      <c r="BS23" s="16"/>
      <c r="BT23" s="16"/>
      <c r="BU23" s="16">
        <f t="shared" si="12"/>
        <v>0</v>
      </c>
      <c r="BV23" s="16"/>
      <c r="BW23" s="16"/>
      <c r="BX23" s="16"/>
      <c r="BY23" s="16"/>
      <c r="BZ23" s="20">
        <f t="shared" si="13"/>
        <v>0</v>
      </c>
      <c r="CA23" s="16"/>
      <c r="CB23" s="16"/>
      <c r="CC23" s="16"/>
      <c r="CD23" s="16"/>
      <c r="CE23" s="16">
        <f t="shared" si="14"/>
        <v>0</v>
      </c>
      <c r="CF23" s="16"/>
      <c r="CG23" s="16" t="s">
        <v>195</v>
      </c>
      <c r="CH23" s="16">
        <v>20</v>
      </c>
      <c r="CI23" s="16">
        <v>2500</v>
      </c>
      <c r="CJ23" s="23">
        <f t="shared" si="15"/>
        <v>50000</v>
      </c>
      <c r="CK23" s="20"/>
      <c r="CL23" s="20"/>
      <c r="CM23" s="20"/>
      <c r="CN23" s="20"/>
      <c r="CO23" s="23">
        <f t="shared" si="16"/>
        <v>0</v>
      </c>
      <c r="CP23" s="16"/>
      <c r="CQ23" s="16" t="s">
        <v>164</v>
      </c>
      <c r="CR23" s="16"/>
      <c r="CS23" s="16">
        <v>15000</v>
      </c>
      <c r="CT23" s="23">
        <f t="shared" si="17"/>
        <v>0</v>
      </c>
      <c r="CU23" s="20"/>
      <c r="CV23" s="20" t="s">
        <v>205</v>
      </c>
      <c r="CW23" s="20"/>
      <c r="CX23" s="20">
        <v>250</v>
      </c>
      <c r="CY23" s="23">
        <f t="shared" si="18"/>
        <v>0</v>
      </c>
      <c r="CZ23" s="20"/>
      <c r="DA23" s="20" t="s">
        <v>83</v>
      </c>
      <c r="DB23" s="20"/>
      <c r="DC23" s="20">
        <v>3300</v>
      </c>
      <c r="DD23" s="23">
        <f t="shared" si="19"/>
        <v>0</v>
      </c>
      <c r="DE23" s="16"/>
      <c r="DF23" s="16" t="s">
        <v>206</v>
      </c>
      <c r="DG23" s="16"/>
      <c r="DH23" s="16">
        <v>2000</v>
      </c>
      <c r="DI23" s="16">
        <f t="shared" si="20"/>
        <v>0</v>
      </c>
      <c r="DJ23" s="20"/>
      <c r="DK23" s="20" t="s">
        <v>89</v>
      </c>
      <c r="DL23" s="20">
        <v>15</v>
      </c>
      <c r="DM23" s="20">
        <v>2500</v>
      </c>
      <c r="DN23" s="16">
        <f t="shared" si="21"/>
        <v>37500</v>
      </c>
      <c r="DO23" s="20"/>
      <c r="DP23" s="20" t="s">
        <v>87</v>
      </c>
      <c r="DQ23" s="20"/>
      <c r="DR23" s="20">
        <v>1550</v>
      </c>
      <c r="DS23" s="16">
        <f t="shared" si="22"/>
        <v>0</v>
      </c>
      <c r="DT23" s="20"/>
      <c r="DU23" s="20" t="s">
        <v>207</v>
      </c>
      <c r="DV23" s="20"/>
      <c r="DW23" s="20">
        <v>1000</v>
      </c>
      <c r="DX23" s="24">
        <f t="shared" si="23"/>
        <v>0</v>
      </c>
    </row>
    <row r="24" spans="1:128" s="2" customFormat="1" x14ac:dyDescent="0.3">
      <c r="A24" s="20"/>
      <c r="B24" s="16" t="str">
        <f>BW8</f>
        <v>LAUNDRY</v>
      </c>
      <c r="C24" s="16">
        <f>BZ37</f>
        <v>787650</v>
      </c>
      <c r="D24" s="17"/>
      <c r="E24" s="20" t="s">
        <v>179</v>
      </c>
      <c r="F24" s="17"/>
      <c r="G24" s="17">
        <v>35000</v>
      </c>
      <c r="H24" s="16">
        <f t="shared" si="0"/>
        <v>0</v>
      </c>
      <c r="I24" s="19"/>
      <c r="J24" s="20" t="s">
        <v>203</v>
      </c>
      <c r="K24" s="20">
        <v>1</v>
      </c>
      <c r="L24" s="20">
        <v>10000</v>
      </c>
      <c r="M24" s="16">
        <f t="shared" si="1"/>
        <v>10000</v>
      </c>
      <c r="N24" s="17"/>
      <c r="O24" s="20" t="s">
        <v>208</v>
      </c>
      <c r="P24" s="21">
        <v>50</v>
      </c>
      <c r="Q24" s="19">
        <v>250</v>
      </c>
      <c r="R24" s="16">
        <f t="shared" si="2"/>
        <v>12500</v>
      </c>
      <c r="S24" s="20"/>
      <c r="T24" s="20" t="s">
        <v>209</v>
      </c>
      <c r="U24" s="20"/>
      <c r="V24" s="20">
        <v>250</v>
      </c>
      <c r="W24" s="16">
        <f t="shared" si="3"/>
        <v>0</v>
      </c>
      <c r="X24" s="16"/>
      <c r="Y24" s="16"/>
      <c r="Z24" s="16"/>
      <c r="AA24" s="16"/>
      <c r="AB24" s="16">
        <f t="shared" si="24"/>
        <v>0</v>
      </c>
      <c r="AC24" s="20"/>
      <c r="AD24" s="20" t="s">
        <v>210</v>
      </c>
      <c r="AE24" s="20">
        <v>40</v>
      </c>
      <c r="AF24" s="16">
        <v>2600</v>
      </c>
      <c r="AG24" s="16">
        <f t="shared" si="4"/>
        <v>104000</v>
      </c>
      <c r="AH24" s="16"/>
      <c r="AI24" s="16" t="s">
        <v>197</v>
      </c>
      <c r="AJ24" s="22">
        <v>2</v>
      </c>
      <c r="AK24" s="19">
        <v>15000</v>
      </c>
      <c r="AL24" s="16">
        <f t="shared" si="5"/>
        <v>30000</v>
      </c>
      <c r="AM24" s="16"/>
      <c r="AN24" s="16"/>
      <c r="AO24" s="16"/>
      <c r="AP24" s="16"/>
      <c r="AQ24" s="16">
        <f t="shared" si="6"/>
        <v>0</v>
      </c>
      <c r="AR24" s="16"/>
      <c r="AS24" s="16" t="s">
        <v>190</v>
      </c>
      <c r="AT24" s="16"/>
      <c r="AU24" s="16">
        <v>3000</v>
      </c>
      <c r="AV24" s="16">
        <f t="shared" si="7"/>
        <v>0</v>
      </c>
      <c r="AW24" s="16"/>
      <c r="AX24" s="16" t="s">
        <v>65</v>
      </c>
      <c r="AY24" s="16"/>
      <c r="AZ24" s="16">
        <v>1550</v>
      </c>
      <c r="BA24" s="16">
        <f t="shared" si="8"/>
        <v>0</v>
      </c>
      <c r="BB24" s="20"/>
      <c r="BC24" s="20" t="s">
        <v>211</v>
      </c>
      <c r="BD24" s="17">
        <v>20</v>
      </c>
      <c r="BE24" s="17">
        <v>250</v>
      </c>
      <c r="BF24" s="16">
        <f t="shared" si="9"/>
        <v>5000</v>
      </c>
      <c r="BG24" s="20"/>
      <c r="BH24" s="20" t="s">
        <v>100</v>
      </c>
      <c r="BI24" s="20">
        <v>2</v>
      </c>
      <c r="BJ24" s="20">
        <v>6500</v>
      </c>
      <c r="BK24" s="16">
        <f t="shared" si="10"/>
        <v>13000</v>
      </c>
      <c r="BL24" s="16"/>
      <c r="BM24" s="16" t="s">
        <v>212</v>
      </c>
      <c r="BN24" s="16">
        <v>10</v>
      </c>
      <c r="BO24" s="16">
        <v>250</v>
      </c>
      <c r="BP24" s="16">
        <f t="shared" si="11"/>
        <v>2500</v>
      </c>
      <c r="BQ24" s="16"/>
      <c r="BR24" s="16"/>
      <c r="BS24" s="16"/>
      <c r="BT24" s="16"/>
      <c r="BU24" s="16">
        <f t="shared" si="12"/>
        <v>0</v>
      </c>
      <c r="BV24" s="16"/>
      <c r="BW24" s="16"/>
      <c r="BX24" s="16"/>
      <c r="BY24" s="16"/>
      <c r="BZ24" s="20">
        <f t="shared" si="13"/>
        <v>0</v>
      </c>
      <c r="CA24" s="16"/>
      <c r="CB24" s="16"/>
      <c r="CC24" s="16"/>
      <c r="CD24" s="16"/>
      <c r="CE24" s="16">
        <f t="shared" si="14"/>
        <v>0</v>
      </c>
      <c r="CF24" s="16"/>
      <c r="CG24" s="16" t="s">
        <v>126</v>
      </c>
      <c r="CH24" s="16">
        <v>1</v>
      </c>
      <c r="CI24" s="23">
        <v>10000</v>
      </c>
      <c r="CJ24" s="23">
        <f t="shared" si="15"/>
        <v>10000</v>
      </c>
      <c r="CK24" s="20"/>
      <c r="CL24" s="20"/>
      <c r="CM24" s="20"/>
      <c r="CN24" s="20"/>
      <c r="CO24" s="23">
        <f t="shared" si="16"/>
        <v>0</v>
      </c>
      <c r="CP24" s="16"/>
      <c r="CQ24" s="16" t="s">
        <v>213</v>
      </c>
      <c r="CR24" s="16"/>
      <c r="CS24" s="16">
        <v>2000</v>
      </c>
      <c r="CT24" s="23">
        <f t="shared" si="17"/>
        <v>0</v>
      </c>
      <c r="CU24" s="20"/>
      <c r="CV24" s="20" t="s">
        <v>214</v>
      </c>
      <c r="CW24" s="20"/>
      <c r="CX24" s="20">
        <v>250</v>
      </c>
      <c r="CY24" s="23">
        <f t="shared" si="18"/>
        <v>0</v>
      </c>
      <c r="CZ24" s="20"/>
      <c r="DA24" s="20" t="s">
        <v>88</v>
      </c>
      <c r="DB24" s="20"/>
      <c r="DC24" s="20">
        <v>2500</v>
      </c>
      <c r="DD24" s="23">
        <v>0</v>
      </c>
      <c r="DE24" s="16"/>
      <c r="DF24" s="16" t="s">
        <v>41</v>
      </c>
      <c r="DG24" s="16">
        <v>1</v>
      </c>
      <c r="DH24" s="16">
        <v>28000</v>
      </c>
      <c r="DI24" s="16">
        <f t="shared" si="20"/>
        <v>28000</v>
      </c>
      <c r="DJ24" s="20"/>
      <c r="DK24" s="20" t="s">
        <v>105</v>
      </c>
      <c r="DL24" s="20"/>
      <c r="DM24" s="20">
        <v>1000</v>
      </c>
      <c r="DN24" s="16">
        <f t="shared" si="21"/>
        <v>0</v>
      </c>
      <c r="DO24" s="20"/>
      <c r="DP24" s="20" t="s">
        <v>215</v>
      </c>
      <c r="DQ24" s="20">
        <v>1</v>
      </c>
      <c r="DR24" s="20">
        <v>7000</v>
      </c>
      <c r="DS24" s="16">
        <f t="shared" si="22"/>
        <v>7000</v>
      </c>
      <c r="DT24" s="20"/>
      <c r="DU24" s="20" t="s">
        <v>90</v>
      </c>
      <c r="DV24" s="20">
        <v>1</v>
      </c>
      <c r="DW24" s="20">
        <v>7000</v>
      </c>
      <c r="DX24" s="24">
        <f t="shared" si="23"/>
        <v>7000</v>
      </c>
    </row>
    <row r="25" spans="1:128" s="2" customFormat="1" x14ac:dyDescent="0.3">
      <c r="A25" s="20"/>
      <c r="B25" s="16" t="str">
        <f>CB8</f>
        <v>LOGISTIK</v>
      </c>
      <c r="C25" s="16">
        <f>CE37</f>
        <v>6500</v>
      </c>
      <c r="D25" s="17"/>
      <c r="E25" s="20" t="s">
        <v>216</v>
      </c>
      <c r="F25" s="17"/>
      <c r="G25" s="17">
        <v>85000</v>
      </c>
      <c r="H25" s="16">
        <f t="shared" si="0"/>
        <v>0</v>
      </c>
      <c r="I25" s="19"/>
      <c r="J25" s="16" t="s">
        <v>211</v>
      </c>
      <c r="K25" s="19"/>
      <c r="L25" s="19">
        <v>250</v>
      </c>
      <c r="M25" s="16">
        <f t="shared" si="1"/>
        <v>0</v>
      </c>
      <c r="N25" s="17"/>
      <c r="O25" s="20" t="s">
        <v>217</v>
      </c>
      <c r="P25" s="21"/>
      <c r="Q25" s="19">
        <v>85000</v>
      </c>
      <c r="R25" s="16">
        <f t="shared" si="2"/>
        <v>0</v>
      </c>
      <c r="S25" s="20"/>
      <c r="T25" s="20" t="s">
        <v>218</v>
      </c>
      <c r="U25" s="20"/>
      <c r="V25" s="20">
        <v>250</v>
      </c>
      <c r="W25" s="16">
        <f t="shared" si="3"/>
        <v>0</v>
      </c>
      <c r="X25" s="16"/>
      <c r="Y25" s="16"/>
      <c r="Z25" s="16"/>
      <c r="AA25" s="16"/>
      <c r="AB25" s="16">
        <f>SUM(Z25*AA25)</f>
        <v>0</v>
      </c>
      <c r="AC25" s="20"/>
      <c r="AD25" s="20" t="s">
        <v>219</v>
      </c>
      <c r="AE25" s="20">
        <v>6</v>
      </c>
      <c r="AF25" s="16">
        <v>4900</v>
      </c>
      <c r="AG25" s="16">
        <f t="shared" si="4"/>
        <v>29400</v>
      </c>
      <c r="AH25" s="16"/>
      <c r="AI25" s="20" t="s">
        <v>54</v>
      </c>
      <c r="AJ25" s="20">
        <v>10</v>
      </c>
      <c r="AK25" s="20">
        <v>450</v>
      </c>
      <c r="AL25" s="16">
        <f t="shared" si="5"/>
        <v>4500</v>
      </c>
      <c r="AM25" s="16"/>
      <c r="AN25" s="16"/>
      <c r="AO25" s="16"/>
      <c r="AP25" s="16"/>
      <c r="AQ25" s="16">
        <f t="shared" si="6"/>
        <v>0</v>
      </c>
      <c r="AR25" s="16"/>
      <c r="AS25" s="16" t="s">
        <v>220</v>
      </c>
      <c r="AT25" s="16"/>
      <c r="AU25" s="16">
        <v>5000</v>
      </c>
      <c r="AV25" s="16">
        <f t="shared" si="7"/>
        <v>0</v>
      </c>
      <c r="AW25" s="16"/>
      <c r="AX25" s="16" t="s">
        <v>113</v>
      </c>
      <c r="AY25" s="16">
        <v>2</v>
      </c>
      <c r="AZ25" s="16">
        <v>5000</v>
      </c>
      <c r="BA25" s="16">
        <f t="shared" si="8"/>
        <v>10000</v>
      </c>
      <c r="BB25" s="20"/>
      <c r="BC25" s="20" t="s">
        <v>53</v>
      </c>
      <c r="BD25" s="17"/>
      <c r="BE25" s="17">
        <v>1000</v>
      </c>
      <c r="BF25" s="16">
        <f t="shared" si="9"/>
        <v>0</v>
      </c>
      <c r="BG25" s="20"/>
      <c r="BH25" s="20" t="s">
        <v>152</v>
      </c>
      <c r="BI25" s="20"/>
      <c r="BJ25" s="20">
        <v>3600</v>
      </c>
      <c r="BK25" s="16">
        <f t="shared" si="10"/>
        <v>0</v>
      </c>
      <c r="BL25" s="16"/>
      <c r="BM25" s="16" t="s">
        <v>221</v>
      </c>
      <c r="BN25" s="16">
        <v>10</v>
      </c>
      <c r="BO25" s="16">
        <v>250</v>
      </c>
      <c r="BP25" s="16">
        <f t="shared" si="11"/>
        <v>2500</v>
      </c>
      <c r="BQ25" s="16"/>
      <c r="BR25" s="16"/>
      <c r="BS25" s="16"/>
      <c r="BT25" s="16"/>
      <c r="BU25" s="16">
        <f t="shared" si="12"/>
        <v>0</v>
      </c>
      <c r="BV25" s="16"/>
      <c r="BW25" s="16"/>
      <c r="BX25" s="16"/>
      <c r="BY25" s="16"/>
      <c r="BZ25" s="20">
        <f t="shared" si="13"/>
        <v>0</v>
      </c>
      <c r="CA25" s="16"/>
      <c r="CB25" s="16"/>
      <c r="CC25" s="16"/>
      <c r="CD25" s="16"/>
      <c r="CE25" s="16">
        <f t="shared" si="14"/>
        <v>0</v>
      </c>
      <c r="CF25" s="16"/>
      <c r="CG25" s="16" t="s">
        <v>222</v>
      </c>
      <c r="CH25" s="16">
        <v>1500</v>
      </c>
      <c r="CI25" s="23">
        <v>250</v>
      </c>
      <c r="CJ25" s="23">
        <f t="shared" si="15"/>
        <v>375000</v>
      </c>
      <c r="CK25" s="20"/>
      <c r="CL25" s="20"/>
      <c r="CM25" s="20"/>
      <c r="CN25" s="20"/>
      <c r="CO25" s="23">
        <f t="shared" si="16"/>
        <v>0</v>
      </c>
      <c r="CP25" s="16"/>
      <c r="CQ25" s="16" t="s">
        <v>223</v>
      </c>
      <c r="CR25" s="16">
        <v>10</v>
      </c>
      <c r="CS25" s="16">
        <v>1500</v>
      </c>
      <c r="CT25" s="23">
        <f t="shared" si="17"/>
        <v>15000</v>
      </c>
      <c r="CU25" s="20"/>
      <c r="CV25" s="20" t="s">
        <v>224</v>
      </c>
      <c r="CW25" s="20"/>
      <c r="CX25" s="20">
        <v>250</v>
      </c>
      <c r="CY25" s="23">
        <f t="shared" si="18"/>
        <v>0</v>
      </c>
      <c r="CZ25" s="20"/>
      <c r="DA25" s="20" t="s">
        <v>152</v>
      </c>
      <c r="DB25" s="20"/>
      <c r="DC25" s="20">
        <v>3600</v>
      </c>
      <c r="DD25" s="23">
        <f t="shared" ref="DD25:DD36" si="25">SUM(DB25*DC25)</f>
        <v>0</v>
      </c>
      <c r="DE25" s="16"/>
      <c r="DF25" s="16" t="s">
        <v>64</v>
      </c>
      <c r="DG25" s="16"/>
      <c r="DH25" s="16">
        <v>5000</v>
      </c>
      <c r="DI25" s="16">
        <f t="shared" si="20"/>
        <v>0</v>
      </c>
      <c r="DJ25" s="20"/>
      <c r="DK25" s="16" t="s">
        <v>225</v>
      </c>
      <c r="DL25" s="16"/>
      <c r="DM25" s="16">
        <v>3900</v>
      </c>
      <c r="DN25" s="16">
        <f t="shared" si="21"/>
        <v>0</v>
      </c>
      <c r="DO25" s="20"/>
      <c r="DP25" s="20" t="s">
        <v>117</v>
      </c>
      <c r="DQ25" s="20">
        <v>10</v>
      </c>
      <c r="DR25" s="20">
        <v>250</v>
      </c>
      <c r="DS25" s="16">
        <f t="shared" si="22"/>
        <v>2500</v>
      </c>
      <c r="DT25" s="20"/>
      <c r="DU25" s="20" t="s">
        <v>203</v>
      </c>
      <c r="DV25" s="20"/>
      <c r="DW25" s="20">
        <v>10000</v>
      </c>
      <c r="DX25" s="24">
        <f t="shared" si="23"/>
        <v>0</v>
      </c>
    </row>
    <row r="26" spans="1:128" s="2" customFormat="1" x14ac:dyDescent="0.3">
      <c r="A26" s="20"/>
      <c r="B26" s="16" t="str">
        <f>CG8</f>
        <v>ASURANSI</v>
      </c>
      <c r="C26" s="16">
        <f>CJ37</f>
        <v>618000</v>
      </c>
      <c r="D26" s="17"/>
      <c r="E26" s="20" t="s">
        <v>226</v>
      </c>
      <c r="F26" s="17"/>
      <c r="G26" s="17">
        <v>2500</v>
      </c>
      <c r="H26" s="16">
        <f t="shared" si="0"/>
        <v>0</v>
      </c>
      <c r="I26" s="19"/>
      <c r="J26" s="20" t="s">
        <v>220</v>
      </c>
      <c r="K26" s="17">
        <v>1</v>
      </c>
      <c r="L26" s="17">
        <v>10000</v>
      </c>
      <c r="M26" s="16">
        <f t="shared" si="1"/>
        <v>10000</v>
      </c>
      <c r="N26" s="17"/>
      <c r="O26" s="20" t="s">
        <v>227</v>
      </c>
      <c r="P26" s="21">
        <v>50</v>
      </c>
      <c r="Q26" s="19">
        <v>250</v>
      </c>
      <c r="R26" s="16">
        <f t="shared" si="2"/>
        <v>12500</v>
      </c>
      <c r="S26" s="20"/>
      <c r="T26" s="20" t="s">
        <v>228</v>
      </c>
      <c r="U26" s="20"/>
      <c r="V26" s="16">
        <v>12000</v>
      </c>
      <c r="W26" s="16">
        <f t="shared" si="3"/>
        <v>0</v>
      </c>
      <c r="X26" s="16"/>
      <c r="Y26" s="16"/>
      <c r="Z26" s="16"/>
      <c r="AA26" s="16"/>
      <c r="AB26" s="16">
        <f t="shared" si="24"/>
        <v>0</v>
      </c>
      <c r="AC26" s="20"/>
      <c r="AD26" s="20" t="s">
        <v>229</v>
      </c>
      <c r="AE26" s="20"/>
      <c r="AF26" s="20">
        <v>12500</v>
      </c>
      <c r="AG26" s="16">
        <f t="shared" si="4"/>
        <v>0</v>
      </c>
      <c r="AH26" s="16"/>
      <c r="AI26" s="20" t="s">
        <v>70</v>
      </c>
      <c r="AJ26" s="20">
        <v>10</v>
      </c>
      <c r="AK26" s="20">
        <v>350</v>
      </c>
      <c r="AL26" s="16">
        <f t="shared" si="5"/>
        <v>3500</v>
      </c>
      <c r="AM26" s="16"/>
      <c r="AN26" s="16"/>
      <c r="AO26" s="16"/>
      <c r="AP26" s="16"/>
      <c r="AQ26" s="16">
        <f t="shared" si="6"/>
        <v>0</v>
      </c>
      <c r="AR26" s="16"/>
      <c r="AS26" s="16" t="s">
        <v>230</v>
      </c>
      <c r="AT26" s="16"/>
      <c r="AU26" s="16">
        <v>5000</v>
      </c>
      <c r="AV26" s="16">
        <f t="shared" si="7"/>
        <v>0</v>
      </c>
      <c r="AW26" s="16"/>
      <c r="AX26" s="16" t="s">
        <v>126</v>
      </c>
      <c r="AY26" s="16">
        <v>2</v>
      </c>
      <c r="AZ26" s="16">
        <v>12000</v>
      </c>
      <c r="BA26" s="16">
        <f t="shared" si="8"/>
        <v>24000</v>
      </c>
      <c r="BB26" s="20"/>
      <c r="BC26" s="20" t="s">
        <v>231</v>
      </c>
      <c r="BD26" s="17"/>
      <c r="BE26" s="17">
        <v>3900</v>
      </c>
      <c r="BF26" s="16">
        <f t="shared" si="9"/>
        <v>0</v>
      </c>
      <c r="BG26" s="20"/>
      <c r="BH26" s="16" t="s">
        <v>193</v>
      </c>
      <c r="BI26" s="16">
        <v>1</v>
      </c>
      <c r="BJ26" s="16">
        <v>10000</v>
      </c>
      <c r="BK26" s="16">
        <f t="shared" si="10"/>
        <v>10000</v>
      </c>
      <c r="BL26" s="16"/>
      <c r="BM26" s="16" t="s">
        <v>69</v>
      </c>
      <c r="BN26" s="16"/>
      <c r="BO26" s="16">
        <v>1000</v>
      </c>
      <c r="BP26" s="16">
        <f t="shared" si="11"/>
        <v>0</v>
      </c>
      <c r="BQ26" s="16"/>
      <c r="BR26" s="16"/>
      <c r="BS26" s="16"/>
      <c r="BT26" s="16"/>
      <c r="BU26" s="16">
        <f t="shared" si="12"/>
        <v>0</v>
      </c>
      <c r="BV26" s="16"/>
      <c r="BW26" s="16"/>
      <c r="BX26" s="16"/>
      <c r="BY26" s="16"/>
      <c r="BZ26" s="20">
        <f t="shared" si="13"/>
        <v>0</v>
      </c>
      <c r="CA26" s="16"/>
      <c r="CB26" s="16"/>
      <c r="CC26" s="16"/>
      <c r="CD26" s="16"/>
      <c r="CE26" s="16">
        <f t="shared" si="14"/>
        <v>0</v>
      </c>
      <c r="CF26" s="16"/>
      <c r="CG26" s="16"/>
      <c r="CH26" s="16"/>
      <c r="CI26" s="23"/>
      <c r="CJ26" s="23">
        <f t="shared" si="15"/>
        <v>0</v>
      </c>
      <c r="CK26" s="20"/>
      <c r="CL26" s="20"/>
      <c r="CM26" s="20"/>
      <c r="CN26" s="20"/>
      <c r="CO26" s="23">
        <f t="shared" si="16"/>
        <v>0</v>
      </c>
      <c r="CP26" s="16"/>
      <c r="CQ26" s="16" t="s">
        <v>68</v>
      </c>
      <c r="CR26" s="16"/>
      <c r="CS26" s="16">
        <v>9000</v>
      </c>
      <c r="CT26" s="23">
        <f t="shared" si="17"/>
        <v>0</v>
      </c>
      <c r="CU26" s="20"/>
      <c r="CV26" s="20" t="s">
        <v>124</v>
      </c>
      <c r="CW26" s="20"/>
      <c r="CX26" s="20">
        <v>250</v>
      </c>
      <c r="CY26" s="23">
        <f t="shared" si="18"/>
        <v>0</v>
      </c>
      <c r="CZ26" s="20"/>
      <c r="DA26" s="20" t="s">
        <v>67</v>
      </c>
      <c r="DB26" s="20"/>
      <c r="DC26" s="20">
        <v>5000</v>
      </c>
      <c r="DD26" s="23">
        <f t="shared" si="25"/>
        <v>0</v>
      </c>
      <c r="DE26" s="16"/>
      <c r="DF26" s="20" t="s">
        <v>103</v>
      </c>
      <c r="DG26" s="20">
        <v>5</v>
      </c>
      <c r="DH26" s="20">
        <v>1000</v>
      </c>
      <c r="DI26" s="16">
        <f t="shared" si="20"/>
        <v>5000</v>
      </c>
      <c r="DJ26" s="20"/>
      <c r="DK26" s="20" t="s">
        <v>152</v>
      </c>
      <c r="DL26" s="20">
        <v>2</v>
      </c>
      <c r="DM26" s="20">
        <v>3600</v>
      </c>
      <c r="DN26" s="16">
        <f t="shared" si="21"/>
        <v>7200</v>
      </c>
      <c r="DO26" s="20"/>
      <c r="DP26" s="16" t="s">
        <v>54</v>
      </c>
      <c r="DQ26" s="22"/>
      <c r="DR26" s="19">
        <v>450</v>
      </c>
      <c r="DS26" s="16">
        <f t="shared" si="22"/>
        <v>0</v>
      </c>
      <c r="DT26" s="20"/>
      <c r="DU26" s="20" t="s">
        <v>129</v>
      </c>
      <c r="DV26" s="20"/>
      <c r="DW26" s="20">
        <v>5000</v>
      </c>
      <c r="DX26" s="24">
        <f t="shared" si="23"/>
        <v>0</v>
      </c>
    </row>
    <row r="27" spans="1:128" s="2" customFormat="1" x14ac:dyDescent="0.3">
      <c r="A27" s="20"/>
      <c r="B27" s="16" t="str">
        <f>CL8</f>
        <v>FISIOTERAPI</v>
      </c>
      <c r="C27" s="16">
        <f>CO37</f>
        <v>166850</v>
      </c>
      <c r="D27" s="17"/>
      <c r="E27" s="20" t="s">
        <v>232</v>
      </c>
      <c r="F27" s="17"/>
      <c r="G27" s="17">
        <v>9000</v>
      </c>
      <c r="H27" s="16">
        <f t="shared" si="0"/>
        <v>0</v>
      </c>
      <c r="I27" s="19"/>
      <c r="J27" s="16" t="s">
        <v>233</v>
      </c>
      <c r="K27" s="19"/>
      <c r="L27" s="19">
        <v>4000</v>
      </c>
      <c r="M27" s="16">
        <f t="shared" si="1"/>
        <v>0</v>
      </c>
      <c r="N27" s="17"/>
      <c r="O27" s="20" t="s">
        <v>234</v>
      </c>
      <c r="P27" s="21">
        <v>50</v>
      </c>
      <c r="Q27" s="19">
        <v>250</v>
      </c>
      <c r="R27" s="16">
        <f t="shared" si="2"/>
        <v>12500</v>
      </c>
      <c r="S27" s="20"/>
      <c r="T27" s="20" t="s">
        <v>235</v>
      </c>
      <c r="U27" s="20"/>
      <c r="V27" s="16">
        <v>22000</v>
      </c>
      <c r="W27" s="16">
        <f t="shared" si="3"/>
        <v>0</v>
      </c>
      <c r="X27" s="16"/>
      <c r="Y27" s="16"/>
      <c r="Z27" s="16"/>
      <c r="AA27" s="16"/>
      <c r="AB27" s="16">
        <f t="shared" si="24"/>
        <v>0</v>
      </c>
      <c r="AC27" s="20"/>
      <c r="AD27" s="20" t="s">
        <v>236</v>
      </c>
      <c r="AE27" s="20"/>
      <c r="AF27" s="20">
        <v>25000</v>
      </c>
      <c r="AG27" s="16">
        <f t="shared" si="4"/>
        <v>0</v>
      </c>
      <c r="AH27" s="16"/>
      <c r="AI27" s="16" t="s">
        <v>237</v>
      </c>
      <c r="AJ27" s="22"/>
      <c r="AK27" s="19">
        <v>3775</v>
      </c>
      <c r="AL27" s="16">
        <f t="shared" si="5"/>
        <v>0</v>
      </c>
      <c r="AM27" s="16"/>
      <c r="AN27" s="16"/>
      <c r="AO27" s="16"/>
      <c r="AP27" s="16"/>
      <c r="AQ27" s="16">
        <f t="shared" si="6"/>
        <v>0</v>
      </c>
      <c r="AR27" s="16"/>
      <c r="AS27" s="20" t="s">
        <v>219</v>
      </c>
      <c r="AT27" s="20">
        <v>1</v>
      </c>
      <c r="AU27" s="16">
        <v>4900</v>
      </c>
      <c r="AV27" s="16">
        <f t="shared" si="7"/>
        <v>4900</v>
      </c>
      <c r="AW27" s="16"/>
      <c r="AX27" s="16" t="s">
        <v>238</v>
      </c>
      <c r="AY27" s="16">
        <v>1</v>
      </c>
      <c r="AZ27" s="16">
        <v>20000</v>
      </c>
      <c r="BA27" s="16">
        <f t="shared" si="8"/>
        <v>20000</v>
      </c>
      <c r="BB27" s="20"/>
      <c r="BC27" s="20" t="s">
        <v>239</v>
      </c>
      <c r="BD27" s="17"/>
      <c r="BE27" s="17">
        <v>85000</v>
      </c>
      <c r="BF27" s="16">
        <f t="shared" si="9"/>
        <v>0</v>
      </c>
      <c r="BG27" s="20"/>
      <c r="BH27" s="20" t="s">
        <v>197</v>
      </c>
      <c r="BI27" s="17"/>
      <c r="BJ27" s="17">
        <v>15000</v>
      </c>
      <c r="BK27" s="16">
        <f t="shared" si="10"/>
        <v>0</v>
      </c>
      <c r="BL27" s="16"/>
      <c r="BM27" s="16" t="s">
        <v>53</v>
      </c>
      <c r="BN27" s="16"/>
      <c r="BO27" s="16">
        <v>1000</v>
      </c>
      <c r="BP27" s="16">
        <f t="shared" si="11"/>
        <v>0</v>
      </c>
      <c r="BQ27" s="16"/>
      <c r="BR27" s="16"/>
      <c r="BS27" s="16"/>
      <c r="BT27" s="16"/>
      <c r="BU27" s="16">
        <f t="shared" si="12"/>
        <v>0</v>
      </c>
      <c r="BV27" s="16"/>
      <c r="BW27" s="16"/>
      <c r="BX27" s="16"/>
      <c r="BY27" s="16"/>
      <c r="BZ27" s="20">
        <f t="shared" si="13"/>
        <v>0</v>
      </c>
      <c r="CA27" s="16"/>
      <c r="CB27" s="16"/>
      <c r="CC27" s="16"/>
      <c r="CD27" s="16"/>
      <c r="CE27" s="16">
        <f t="shared" si="14"/>
        <v>0</v>
      </c>
      <c r="CF27" s="16"/>
      <c r="CG27" s="16"/>
      <c r="CH27" s="16"/>
      <c r="CI27" s="23"/>
      <c r="CJ27" s="23">
        <f t="shared" si="15"/>
        <v>0</v>
      </c>
      <c r="CK27" s="20"/>
      <c r="CL27" s="20"/>
      <c r="CM27" s="20"/>
      <c r="CN27" s="20"/>
      <c r="CO27" s="23">
        <f t="shared" si="16"/>
        <v>0</v>
      </c>
      <c r="CP27" s="16"/>
      <c r="CQ27" s="16" t="s">
        <v>65</v>
      </c>
      <c r="CR27" s="16">
        <v>4</v>
      </c>
      <c r="CS27" s="16">
        <v>1550</v>
      </c>
      <c r="CT27" s="23">
        <f t="shared" si="17"/>
        <v>6200</v>
      </c>
      <c r="CU27" s="20"/>
      <c r="CV27" s="20" t="s">
        <v>53</v>
      </c>
      <c r="CW27" s="20"/>
      <c r="CX27" s="20">
        <v>1000</v>
      </c>
      <c r="CY27" s="23">
        <f t="shared" si="18"/>
        <v>0</v>
      </c>
      <c r="CZ27" s="20"/>
      <c r="DA27" s="20" t="s">
        <v>103</v>
      </c>
      <c r="DB27" s="20"/>
      <c r="DC27" s="20">
        <v>600</v>
      </c>
      <c r="DD27" s="23">
        <f t="shared" si="25"/>
        <v>0</v>
      </c>
      <c r="DE27" s="16"/>
      <c r="DF27" s="16"/>
      <c r="DG27" s="16"/>
      <c r="DH27" s="16"/>
      <c r="DI27" s="16">
        <f t="shared" si="20"/>
        <v>0</v>
      </c>
      <c r="DJ27" s="20"/>
      <c r="DK27" s="20" t="s">
        <v>90</v>
      </c>
      <c r="DL27" s="20"/>
      <c r="DM27" s="20">
        <v>7000</v>
      </c>
      <c r="DN27" s="16">
        <f t="shared" si="21"/>
        <v>0</v>
      </c>
      <c r="DO27" s="20"/>
      <c r="DP27" s="20" t="s">
        <v>240</v>
      </c>
      <c r="DQ27" s="20"/>
      <c r="DR27" s="20">
        <v>25000</v>
      </c>
      <c r="DS27" s="16">
        <f t="shared" si="22"/>
        <v>0</v>
      </c>
      <c r="DT27" s="20"/>
      <c r="DU27" s="20" t="s">
        <v>241</v>
      </c>
      <c r="DV27" s="20">
        <v>20</v>
      </c>
      <c r="DW27" s="20">
        <v>250</v>
      </c>
      <c r="DX27" s="24">
        <f t="shared" si="23"/>
        <v>5000</v>
      </c>
    </row>
    <row r="28" spans="1:128" s="2" customFormat="1" x14ac:dyDescent="0.3">
      <c r="A28" s="20"/>
      <c r="B28" s="16" t="str">
        <f>CQ8</f>
        <v>AULA</v>
      </c>
      <c r="C28" s="16">
        <f>CT37</f>
        <v>163700</v>
      </c>
      <c r="D28" s="17"/>
      <c r="E28" s="20" t="s">
        <v>169</v>
      </c>
      <c r="F28" s="17"/>
      <c r="G28" s="17">
        <v>10000</v>
      </c>
      <c r="H28" s="16">
        <f t="shared" si="0"/>
        <v>0</v>
      </c>
      <c r="I28" s="19"/>
      <c r="J28" s="16" t="s">
        <v>68</v>
      </c>
      <c r="K28" s="19"/>
      <c r="L28" s="19">
        <v>9000</v>
      </c>
      <c r="M28" s="16">
        <f t="shared" si="1"/>
        <v>0</v>
      </c>
      <c r="N28" s="17"/>
      <c r="O28" s="20" t="s">
        <v>116</v>
      </c>
      <c r="P28" s="21"/>
      <c r="Q28" s="19">
        <v>20000</v>
      </c>
      <c r="R28" s="16">
        <f t="shared" si="2"/>
        <v>0</v>
      </c>
      <c r="S28" s="20"/>
      <c r="T28" s="20" t="s">
        <v>135</v>
      </c>
      <c r="U28" s="20">
        <v>1</v>
      </c>
      <c r="V28" s="16">
        <v>6500</v>
      </c>
      <c r="W28" s="16">
        <f t="shared" si="3"/>
        <v>6500</v>
      </c>
      <c r="X28" s="16"/>
      <c r="Y28" s="16"/>
      <c r="Z28" s="16"/>
      <c r="AA28" s="16"/>
      <c r="AB28" s="16">
        <f t="shared" si="24"/>
        <v>0</v>
      </c>
      <c r="AC28" s="20"/>
      <c r="AD28" s="20" t="s">
        <v>242</v>
      </c>
      <c r="AE28" s="20"/>
      <c r="AF28" s="20">
        <v>85000</v>
      </c>
      <c r="AG28" s="16">
        <f t="shared" si="4"/>
        <v>0</v>
      </c>
      <c r="AH28" s="16"/>
      <c r="AI28" s="16" t="s">
        <v>243</v>
      </c>
      <c r="AJ28" s="16"/>
      <c r="AK28" s="16">
        <v>500</v>
      </c>
      <c r="AL28" s="16">
        <f t="shared" si="5"/>
        <v>0</v>
      </c>
      <c r="AM28" s="16"/>
      <c r="AN28" s="16"/>
      <c r="AO28" s="16"/>
      <c r="AP28" s="16"/>
      <c r="AQ28" s="16">
        <f t="shared" si="6"/>
        <v>0</v>
      </c>
      <c r="AR28" s="16"/>
      <c r="AS28" s="20" t="s">
        <v>244</v>
      </c>
      <c r="AT28" s="20"/>
      <c r="AU28" s="20">
        <v>3900</v>
      </c>
      <c r="AV28" s="16">
        <f t="shared" si="7"/>
        <v>0</v>
      </c>
      <c r="AW28" s="16"/>
      <c r="AX28" s="16"/>
      <c r="AY28" s="16"/>
      <c r="AZ28" s="16"/>
      <c r="BA28" s="16">
        <f t="shared" si="8"/>
        <v>0</v>
      </c>
      <c r="BB28" s="20"/>
      <c r="BC28" s="20" t="s">
        <v>245</v>
      </c>
      <c r="BD28" s="17"/>
      <c r="BE28" s="17">
        <v>10000</v>
      </c>
      <c r="BF28" s="16">
        <f t="shared" si="9"/>
        <v>0</v>
      </c>
      <c r="BG28" s="20"/>
      <c r="BH28" s="20" t="s">
        <v>246</v>
      </c>
      <c r="BI28" s="20">
        <v>10</v>
      </c>
      <c r="BJ28" s="20">
        <v>250</v>
      </c>
      <c r="BK28" s="16">
        <f t="shared" si="10"/>
        <v>2500</v>
      </c>
      <c r="BL28" s="16"/>
      <c r="BM28" s="20" t="s">
        <v>247</v>
      </c>
      <c r="BN28" s="20"/>
      <c r="BO28" s="20">
        <v>2500</v>
      </c>
      <c r="BP28" s="16">
        <f t="shared" si="11"/>
        <v>0</v>
      </c>
      <c r="BQ28" s="16"/>
      <c r="BR28" s="16"/>
      <c r="BS28" s="16"/>
      <c r="BT28" s="16"/>
      <c r="BU28" s="16">
        <f t="shared" si="12"/>
        <v>0</v>
      </c>
      <c r="BV28" s="16"/>
      <c r="BW28" s="16"/>
      <c r="BX28" s="16"/>
      <c r="BY28" s="16"/>
      <c r="BZ28" s="20">
        <f t="shared" si="13"/>
        <v>0</v>
      </c>
      <c r="CA28" s="16"/>
      <c r="CB28" s="16"/>
      <c r="CC28" s="16"/>
      <c r="CD28" s="16"/>
      <c r="CE28" s="16">
        <f t="shared" si="14"/>
        <v>0</v>
      </c>
      <c r="CF28" s="16"/>
      <c r="CG28" s="16"/>
      <c r="CH28" s="16"/>
      <c r="CI28" s="23"/>
      <c r="CJ28" s="23">
        <f t="shared" si="15"/>
        <v>0</v>
      </c>
      <c r="CK28" s="20"/>
      <c r="CL28" s="20"/>
      <c r="CM28" s="20"/>
      <c r="CN28" s="20"/>
      <c r="CO28" s="23">
        <f t="shared" si="16"/>
        <v>0</v>
      </c>
      <c r="CP28" s="16"/>
      <c r="CQ28" s="16" t="s">
        <v>201</v>
      </c>
      <c r="CR28" s="16">
        <v>5</v>
      </c>
      <c r="CS28" s="16">
        <v>3500</v>
      </c>
      <c r="CT28" s="23">
        <f t="shared" si="17"/>
        <v>17500</v>
      </c>
      <c r="CU28" s="20"/>
      <c r="CV28" s="20" t="s">
        <v>248</v>
      </c>
      <c r="CW28" s="20"/>
      <c r="CX28" s="20">
        <v>250</v>
      </c>
      <c r="CY28" s="23">
        <f t="shared" si="18"/>
        <v>0</v>
      </c>
      <c r="CZ28" s="20"/>
      <c r="DA28" s="20" t="s">
        <v>235</v>
      </c>
      <c r="DB28" s="20"/>
      <c r="DC28" s="20">
        <v>22000</v>
      </c>
      <c r="DD28" s="23">
        <f t="shared" si="25"/>
        <v>0</v>
      </c>
      <c r="DE28" s="16"/>
      <c r="DF28" s="16"/>
      <c r="DG28" s="16"/>
      <c r="DH28" s="16"/>
      <c r="DI28" s="16">
        <f t="shared" si="20"/>
        <v>0</v>
      </c>
      <c r="DJ28" s="20"/>
      <c r="DK28" s="20" t="s">
        <v>249</v>
      </c>
      <c r="DL28" s="20"/>
      <c r="DM28" s="20">
        <v>350</v>
      </c>
      <c r="DN28" s="16">
        <f t="shared" si="21"/>
        <v>0</v>
      </c>
      <c r="DO28" s="20"/>
      <c r="DP28" s="20" t="s">
        <v>250</v>
      </c>
      <c r="DQ28" s="20"/>
      <c r="DR28" s="20">
        <v>15000</v>
      </c>
      <c r="DS28" s="16">
        <f t="shared" si="22"/>
        <v>0</v>
      </c>
      <c r="DT28" s="20"/>
      <c r="DU28" s="20" t="s">
        <v>179</v>
      </c>
      <c r="DV28" s="20"/>
      <c r="DW28" s="20">
        <v>35000</v>
      </c>
      <c r="DX28" s="24">
        <f t="shared" si="23"/>
        <v>0</v>
      </c>
    </row>
    <row r="29" spans="1:128" s="2" customFormat="1" x14ac:dyDescent="0.3">
      <c r="A29" s="20"/>
      <c r="B29" s="16" t="str">
        <f>CV8</f>
        <v>PERINA PICU NICU</v>
      </c>
      <c r="C29" s="16">
        <f>CY37</f>
        <v>0</v>
      </c>
      <c r="D29" s="17"/>
      <c r="E29" s="20"/>
      <c r="F29" s="17"/>
      <c r="G29" s="17"/>
      <c r="H29" s="16">
        <f t="shared" si="0"/>
        <v>0</v>
      </c>
      <c r="I29" s="19"/>
      <c r="J29" s="16" t="s">
        <v>251</v>
      </c>
      <c r="K29" s="19"/>
      <c r="L29" s="19">
        <v>20000</v>
      </c>
      <c r="M29" s="16">
        <f t="shared" si="1"/>
        <v>0</v>
      </c>
      <c r="N29" s="17"/>
      <c r="O29" s="20" t="s">
        <v>65</v>
      </c>
      <c r="P29" s="21"/>
      <c r="Q29" s="19">
        <v>950</v>
      </c>
      <c r="R29" s="16">
        <f t="shared" si="2"/>
        <v>0</v>
      </c>
      <c r="S29" s="20"/>
      <c r="T29" s="20"/>
      <c r="U29" s="17"/>
      <c r="V29" s="17"/>
      <c r="W29" s="16">
        <f t="shared" si="3"/>
        <v>0</v>
      </c>
      <c r="X29" s="16"/>
      <c r="Y29" s="16"/>
      <c r="Z29" s="16"/>
      <c r="AA29" s="16"/>
      <c r="AB29" s="16">
        <f t="shared" si="24"/>
        <v>0</v>
      </c>
      <c r="AC29" s="20"/>
      <c r="AD29" s="20" t="s">
        <v>252</v>
      </c>
      <c r="AE29" s="20"/>
      <c r="AF29" s="20">
        <v>8500</v>
      </c>
      <c r="AG29" s="16">
        <f t="shared" si="4"/>
        <v>0</v>
      </c>
      <c r="AH29" s="16"/>
      <c r="AI29" s="16" t="s">
        <v>253</v>
      </c>
      <c r="AJ29" s="22"/>
      <c r="AK29" s="19">
        <v>15000</v>
      </c>
      <c r="AL29" s="16">
        <f t="shared" si="5"/>
        <v>0</v>
      </c>
      <c r="AM29" s="16"/>
      <c r="AN29" s="16"/>
      <c r="AO29" s="16"/>
      <c r="AP29" s="16"/>
      <c r="AQ29" s="16">
        <f t="shared" si="6"/>
        <v>0</v>
      </c>
      <c r="AR29" s="16"/>
      <c r="AS29" s="20" t="s">
        <v>210</v>
      </c>
      <c r="AT29" s="20"/>
      <c r="AU29" s="16">
        <v>2600</v>
      </c>
      <c r="AV29" s="16">
        <f t="shared" si="7"/>
        <v>0</v>
      </c>
      <c r="AW29" s="16"/>
      <c r="AX29" s="16"/>
      <c r="AY29" s="16"/>
      <c r="AZ29" s="16"/>
      <c r="BA29" s="16">
        <f t="shared" si="8"/>
        <v>0</v>
      </c>
      <c r="BB29" s="20"/>
      <c r="BC29" s="20" t="s">
        <v>107</v>
      </c>
      <c r="BD29" s="17"/>
      <c r="BE29" s="17">
        <v>11000</v>
      </c>
      <c r="BF29" s="16">
        <f t="shared" si="9"/>
        <v>0</v>
      </c>
      <c r="BG29" s="20"/>
      <c r="BH29" s="20" t="s">
        <v>254</v>
      </c>
      <c r="BI29" s="20"/>
      <c r="BJ29" s="20">
        <v>5000</v>
      </c>
      <c r="BK29" s="16">
        <f t="shared" si="10"/>
        <v>0</v>
      </c>
      <c r="BL29" s="16"/>
      <c r="BM29" s="16" t="s">
        <v>197</v>
      </c>
      <c r="BN29" s="16">
        <v>1</v>
      </c>
      <c r="BO29" s="16">
        <v>15000</v>
      </c>
      <c r="BP29" s="16">
        <f t="shared" si="11"/>
        <v>15000</v>
      </c>
      <c r="BQ29" s="16"/>
      <c r="BR29" s="16"/>
      <c r="BS29" s="16"/>
      <c r="BT29" s="16"/>
      <c r="BU29" s="16">
        <f t="shared" si="12"/>
        <v>0</v>
      </c>
      <c r="BV29" s="16"/>
      <c r="BW29" s="16"/>
      <c r="BX29" s="16"/>
      <c r="BY29" s="16"/>
      <c r="BZ29" s="20">
        <f t="shared" si="13"/>
        <v>0</v>
      </c>
      <c r="CA29" s="16"/>
      <c r="CB29" s="16"/>
      <c r="CC29" s="16"/>
      <c r="CD29" s="16"/>
      <c r="CE29" s="16">
        <f t="shared" si="14"/>
        <v>0</v>
      </c>
      <c r="CF29" s="16"/>
      <c r="CG29" s="16"/>
      <c r="CH29" s="16"/>
      <c r="CI29" s="23"/>
      <c r="CJ29" s="23">
        <f t="shared" si="15"/>
        <v>0</v>
      </c>
      <c r="CK29" s="20"/>
      <c r="CL29" s="20"/>
      <c r="CM29" s="20"/>
      <c r="CN29" s="20"/>
      <c r="CO29" s="23">
        <f t="shared" si="16"/>
        <v>0</v>
      </c>
      <c r="CP29" s="16"/>
      <c r="CQ29" s="16" t="s">
        <v>195</v>
      </c>
      <c r="CR29" s="16">
        <v>5</v>
      </c>
      <c r="CS29" s="16">
        <v>1500</v>
      </c>
      <c r="CT29" s="23">
        <f t="shared" si="17"/>
        <v>7500</v>
      </c>
      <c r="CU29" s="20"/>
      <c r="CV29" s="20" t="s">
        <v>87</v>
      </c>
      <c r="CW29" s="20"/>
      <c r="CX29" s="20">
        <v>1550</v>
      </c>
      <c r="CY29" s="23">
        <f t="shared" si="18"/>
        <v>0</v>
      </c>
      <c r="CZ29" s="20"/>
      <c r="DA29" s="20" t="s">
        <v>87</v>
      </c>
      <c r="DB29" s="20"/>
      <c r="DC29" s="20">
        <v>1550</v>
      </c>
      <c r="DD29" s="23">
        <f t="shared" si="25"/>
        <v>0</v>
      </c>
      <c r="DE29" s="16"/>
      <c r="DF29" s="16"/>
      <c r="DG29" s="16"/>
      <c r="DH29" s="16"/>
      <c r="DI29" s="16">
        <f t="shared" si="20"/>
        <v>0</v>
      </c>
      <c r="DJ29" s="20"/>
      <c r="DK29" s="20" t="s">
        <v>255</v>
      </c>
      <c r="DL29" s="20"/>
      <c r="DM29" s="20">
        <v>250</v>
      </c>
      <c r="DN29" s="16">
        <f t="shared" si="21"/>
        <v>0</v>
      </c>
      <c r="DO29" s="20"/>
      <c r="DP29" s="16" t="s">
        <v>225</v>
      </c>
      <c r="DQ29" s="16"/>
      <c r="DR29" s="16">
        <v>3900</v>
      </c>
      <c r="DS29" s="16">
        <f t="shared" si="22"/>
        <v>0</v>
      </c>
      <c r="DT29" s="20"/>
      <c r="DU29" s="20" t="s">
        <v>198</v>
      </c>
      <c r="DV29" s="20"/>
      <c r="DW29" s="20">
        <v>22000</v>
      </c>
      <c r="DX29" s="24">
        <f t="shared" si="23"/>
        <v>0</v>
      </c>
    </row>
    <row r="30" spans="1:128" s="2" customFormat="1" x14ac:dyDescent="0.3">
      <c r="A30" s="20"/>
      <c r="B30" s="16" t="str">
        <f>DA8</f>
        <v>ICU</v>
      </c>
      <c r="C30" s="16">
        <f>DD37</f>
        <v>0</v>
      </c>
      <c r="D30" s="17"/>
      <c r="E30" s="20"/>
      <c r="F30" s="17"/>
      <c r="G30" s="17"/>
      <c r="H30" s="16">
        <f t="shared" si="0"/>
        <v>0</v>
      </c>
      <c r="I30" s="19"/>
      <c r="J30" s="16" t="s">
        <v>53</v>
      </c>
      <c r="K30" s="19"/>
      <c r="L30" s="19">
        <v>1000</v>
      </c>
      <c r="M30" s="16">
        <f t="shared" si="1"/>
        <v>0</v>
      </c>
      <c r="N30" s="17"/>
      <c r="O30" s="20" t="s">
        <v>256</v>
      </c>
      <c r="P30" s="21">
        <v>2</v>
      </c>
      <c r="Q30" s="19">
        <v>15000</v>
      </c>
      <c r="R30" s="16">
        <f t="shared" si="2"/>
        <v>30000</v>
      </c>
      <c r="S30" s="20"/>
      <c r="T30" s="20" t="s">
        <v>51</v>
      </c>
      <c r="U30" s="20">
        <v>200</v>
      </c>
      <c r="V30" s="16">
        <v>100</v>
      </c>
      <c r="W30" s="16">
        <f t="shared" si="3"/>
        <v>20000</v>
      </c>
      <c r="X30" s="16"/>
      <c r="Y30" s="16"/>
      <c r="Z30" s="16"/>
      <c r="AA30" s="16"/>
      <c r="AB30" s="16">
        <f t="shared" si="24"/>
        <v>0</v>
      </c>
      <c r="AC30" s="20"/>
      <c r="AD30" s="20" t="s">
        <v>257</v>
      </c>
      <c r="AE30" s="20">
        <v>7</v>
      </c>
      <c r="AF30" s="20">
        <v>17000</v>
      </c>
      <c r="AG30" s="16">
        <f t="shared" si="4"/>
        <v>119000</v>
      </c>
      <c r="AH30" s="16"/>
      <c r="AI30" s="16" t="s">
        <v>110</v>
      </c>
      <c r="AJ30" s="22"/>
      <c r="AK30" s="19">
        <v>85000</v>
      </c>
      <c r="AL30" s="16">
        <f t="shared" si="5"/>
        <v>0</v>
      </c>
      <c r="AM30" s="16"/>
      <c r="AN30" s="16"/>
      <c r="AO30" s="16"/>
      <c r="AP30" s="16"/>
      <c r="AQ30" s="16">
        <f t="shared" si="6"/>
        <v>0</v>
      </c>
      <c r="AR30" s="16"/>
      <c r="AS30" s="16" t="s">
        <v>258</v>
      </c>
      <c r="AT30" s="16"/>
      <c r="AU30" s="16"/>
      <c r="AV30" s="16">
        <f t="shared" si="7"/>
        <v>0</v>
      </c>
      <c r="AW30" s="16"/>
      <c r="AX30" s="16"/>
      <c r="AY30" s="16"/>
      <c r="AZ30" s="16"/>
      <c r="BA30" s="16">
        <f t="shared" si="8"/>
        <v>0</v>
      </c>
      <c r="BB30" s="20"/>
      <c r="BC30" s="20" t="s">
        <v>164</v>
      </c>
      <c r="BD30" s="17">
        <v>2</v>
      </c>
      <c r="BE30" s="17">
        <v>15000</v>
      </c>
      <c r="BF30" s="16">
        <f t="shared" si="9"/>
        <v>30000</v>
      </c>
      <c r="BG30" s="20"/>
      <c r="BH30" s="16" t="s">
        <v>179</v>
      </c>
      <c r="BI30" s="16">
        <v>1</v>
      </c>
      <c r="BJ30" s="16">
        <v>35000</v>
      </c>
      <c r="BK30" s="16">
        <f t="shared" si="10"/>
        <v>35000</v>
      </c>
      <c r="BL30" s="16"/>
      <c r="BM30" s="16" t="s">
        <v>164</v>
      </c>
      <c r="BN30" s="16">
        <v>1</v>
      </c>
      <c r="BO30" s="16">
        <v>15000</v>
      </c>
      <c r="BP30" s="16">
        <f t="shared" si="11"/>
        <v>15000</v>
      </c>
      <c r="BQ30" s="16"/>
      <c r="BR30" s="16"/>
      <c r="BS30" s="16"/>
      <c r="BT30" s="16"/>
      <c r="BU30" s="16">
        <f t="shared" si="12"/>
        <v>0</v>
      </c>
      <c r="BV30" s="16"/>
      <c r="BW30" s="16"/>
      <c r="BX30" s="16"/>
      <c r="BY30" s="16"/>
      <c r="BZ30" s="20">
        <f t="shared" si="13"/>
        <v>0</v>
      </c>
      <c r="CA30" s="16"/>
      <c r="CB30" s="16"/>
      <c r="CC30" s="16"/>
      <c r="CD30" s="16"/>
      <c r="CE30" s="16">
        <f t="shared" si="14"/>
        <v>0</v>
      </c>
      <c r="CF30" s="16"/>
      <c r="CG30" s="16"/>
      <c r="CH30" s="16"/>
      <c r="CI30" s="23"/>
      <c r="CJ30" s="23">
        <f t="shared" si="15"/>
        <v>0</v>
      </c>
      <c r="CK30" s="20"/>
      <c r="CL30" s="20"/>
      <c r="CM30" s="20"/>
      <c r="CN30" s="20"/>
      <c r="CO30" s="23">
        <f t="shared" si="16"/>
        <v>0</v>
      </c>
      <c r="CP30" s="16"/>
      <c r="CQ30" s="16" t="s">
        <v>253</v>
      </c>
      <c r="CR30" s="22"/>
      <c r="CS30" s="19">
        <v>15000</v>
      </c>
      <c r="CT30" s="23">
        <f t="shared" si="17"/>
        <v>0</v>
      </c>
      <c r="CU30" s="20"/>
      <c r="CV30" s="20" t="s">
        <v>259</v>
      </c>
      <c r="CW30" s="20"/>
      <c r="CX30" s="20">
        <v>250</v>
      </c>
      <c r="CY30" s="23">
        <f t="shared" si="18"/>
        <v>0</v>
      </c>
      <c r="CZ30" s="20"/>
      <c r="DA30" s="20" t="s">
        <v>260</v>
      </c>
      <c r="DB30" s="20"/>
      <c r="DC30" s="20">
        <v>250</v>
      </c>
      <c r="DD30" s="23">
        <f t="shared" si="25"/>
        <v>0</v>
      </c>
      <c r="DE30" s="16"/>
      <c r="DF30" s="16"/>
      <c r="DG30" s="16"/>
      <c r="DH30" s="16"/>
      <c r="DI30" s="16">
        <f t="shared" si="20"/>
        <v>0</v>
      </c>
      <c r="DJ30" s="20"/>
      <c r="DK30" s="20" t="s">
        <v>152</v>
      </c>
      <c r="DL30" s="20"/>
      <c r="DM30" s="20">
        <v>3600</v>
      </c>
      <c r="DN30" s="16">
        <f t="shared" si="21"/>
        <v>0</v>
      </c>
      <c r="DO30" s="20"/>
      <c r="DP30" s="16" t="s">
        <v>105</v>
      </c>
      <c r="DQ30" s="19">
        <v>10</v>
      </c>
      <c r="DR30" s="19">
        <v>700</v>
      </c>
      <c r="DS30" s="16">
        <f t="shared" si="22"/>
        <v>7000</v>
      </c>
      <c r="DT30" s="20"/>
      <c r="DU30" s="20" t="s">
        <v>107</v>
      </c>
      <c r="DV30" s="20"/>
      <c r="DW30" s="20">
        <v>11000</v>
      </c>
      <c r="DX30" s="24">
        <f t="shared" si="23"/>
        <v>0</v>
      </c>
    </row>
    <row r="31" spans="1:128" s="2" customFormat="1" x14ac:dyDescent="0.3">
      <c r="A31" s="20"/>
      <c r="B31" s="16" t="str">
        <f>DF8</f>
        <v>GIZI</v>
      </c>
      <c r="C31" s="16">
        <f>DI37</f>
        <v>114600</v>
      </c>
      <c r="D31" s="17"/>
      <c r="E31" s="20"/>
      <c r="F31" s="17"/>
      <c r="G31" s="17"/>
      <c r="H31" s="16">
        <f t="shared" si="0"/>
        <v>0</v>
      </c>
      <c r="I31" s="19"/>
      <c r="J31" s="16" t="s">
        <v>261</v>
      </c>
      <c r="K31" s="19"/>
      <c r="L31" s="19">
        <v>250</v>
      </c>
      <c r="M31" s="16">
        <f t="shared" si="1"/>
        <v>0</v>
      </c>
      <c r="N31" s="17"/>
      <c r="O31" s="20" t="s">
        <v>262</v>
      </c>
      <c r="P31" s="21"/>
      <c r="Q31" s="19">
        <v>20000</v>
      </c>
      <c r="R31" s="16">
        <f t="shared" si="2"/>
        <v>0</v>
      </c>
      <c r="S31" s="20"/>
      <c r="T31" s="20" t="s">
        <v>263</v>
      </c>
      <c r="U31" s="17"/>
      <c r="V31" s="17">
        <v>7000</v>
      </c>
      <c r="W31" s="16">
        <f t="shared" si="3"/>
        <v>0</v>
      </c>
      <c r="X31" s="16"/>
      <c r="Y31" s="16"/>
      <c r="Z31" s="16"/>
      <c r="AA31" s="16"/>
      <c r="AB31" s="16">
        <f t="shared" si="24"/>
        <v>0</v>
      </c>
      <c r="AC31" s="20"/>
      <c r="AD31" s="20" t="s">
        <v>185</v>
      </c>
      <c r="AE31" s="20">
        <v>5</v>
      </c>
      <c r="AF31" s="20">
        <v>15000</v>
      </c>
      <c r="AG31" s="16">
        <f t="shared" si="4"/>
        <v>75000</v>
      </c>
      <c r="AH31" s="16"/>
      <c r="AI31" s="16" t="s">
        <v>54</v>
      </c>
      <c r="AJ31" s="22"/>
      <c r="AK31" s="19">
        <v>450</v>
      </c>
      <c r="AL31" s="16">
        <f t="shared" si="5"/>
        <v>0</v>
      </c>
      <c r="AM31" s="16"/>
      <c r="AN31" s="16"/>
      <c r="AO31" s="16"/>
      <c r="AP31" s="16"/>
      <c r="AQ31" s="16">
        <f t="shared" si="6"/>
        <v>0</v>
      </c>
      <c r="AR31" s="16"/>
      <c r="AS31" s="16" t="s">
        <v>264</v>
      </c>
      <c r="AT31" s="19"/>
      <c r="AU31" s="19">
        <v>5000</v>
      </c>
      <c r="AV31" s="16">
        <f t="shared" si="7"/>
        <v>0</v>
      </c>
      <c r="AW31" s="16"/>
      <c r="AX31" s="16"/>
      <c r="AY31" s="16"/>
      <c r="AZ31" s="16"/>
      <c r="BA31" s="16">
        <f t="shared" si="8"/>
        <v>0</v>
      </c>
      <c r="BB31" s="20"/>
      <c r="BC31" s="20" t="s">
        <v>90</v>
      </c>
      <c r="BD31" s="20">
        <v>1</v>
      </c>
      <c r="BE31" s="20">
        <v>7000</v>
      </c>
      <c r="BF31" s="16">
        <f t="shared" si="9"/>
        <v>7000</v>
      </c>
      <c r="BG31" s="20"/>
      <c r="BH31" s="20" t="s">
        <v>69</v>
      </c>
      <c r="BI31" s="20">
        <v>5</v>
      </c>
      <c r="BJ31" s="20">
        <v>1000</v>
      </c>
      <c r="BK31" s="16">
        <f t="shared" si="10"/>
        <v>5000</v>
      </c>
      <c r="BL31" s="16"/>
      <c r="BM31" s="16" t="s">
        <v>69</v>
      </c>
      <c r="BN31" s="16"/>
      <c r="BO31" s="16">
        <v>1000</v>
      </c>
      <c r="BP31" s="16">
        <f t="shared" si="11"/>
        <v>0</v>
      </c>
      <c r="BQ31" s="16"/>
      <c r="BR31" s="16"/>
      <c r="BS31" s="16"/>
      <c r="BT31" s="16"/>
      <c r="BU31" s="16">
        <f t="shared" si="12"/>
        <v>0</v>
      </c>
      <c r="BV31" s="16"/>
      <c r="BW31" s="16"/>
      <c r="BX31" s="16"/>
      <c r="BY31" s="16"/>
      <c r="BZ31" s="20">
        <f t="shared" si="13"/>
        <v>0</v>
      </c>
      <c r="CA31" s="16"/>
      <c r="CB31" s="16"/>
      <c r="CC31" s="16"/>
      <c r="CD31" s="16"/>
      <c r="CE31" s="16">
        <f t="shared" si="14"/>
        <v>0</v>
      </c>
      <c r="CF31" s="16"/>
      <c r="CG31" s="16"/>
      <c r="CH31" s="16"/>
      <c r="CI31" s="23"/>
      <c r="CJ31" s="23">
        <f t="shared" si="15"/>
        <v>0</v>
      </c>
      <c r="CK31" s="20"/>
      <c r="CL31" s="20"/>
      <c r="CM31" s="20"/>
      <c r="CN31" s="20"/>
      <c r="CO31" s="23">
        <f t="shared" si="16"/>
        <v>0</v>
      </c>
      <c r="CP31" s="16"/>
      <c r="CQ31" s="16" t="s">
        <v>265</v>
      </c>
      <c r="CR31" s="16">
        <v>1</v>
      </c>
      <c r="CS31" s="16">
        <v>15000</v>
      </c>
      <c r="CT31" s="23">
        <f t="shared" si="17"/>
        <v>15000</v>
      </c>
      <c r="CU31" s="20"/>
      <c r="CV31" s="20" t="s">
        <v>266</v>
      </c>
      <c r="CW31" s="20"/>
      <c r="CX31" s="20">
        <v>250</v>
      </c>
      <c r="CY31" s="23">
        <f t="shared" si="18"/>
        <v>0</v>
      </c>
      <c r="CZ31" s="20"/>
      <c r="DA31" s="20" t="s">
        <v>142</v>
      </c>
      <c r="DB31" s="20"/>
      <c r="DC31" s="20">
        <v>250</v>
      </c>
      <c r="DD31" s="23">
        <f t="shared" si="25"/>
        <v>0</v>
      </c>
      <c r="DE31" s="16"/>
      <c r="DF31" s="16"/>
      <c r="DG31" s="16"/>
      <c r="DH31" s="16"/>
      <c r="DI31" s="16">
        <f t="shared" si="20"/>
        <v>0</v>
      </c>
      <c r="DJ31" s="20"/>
      <c r="DK31" s="20" t="s">
        <v>65</v>
      </c>
      <c r="DL31" s="20">
        <v>3</v>
      </c>
      <c r="DM31" s="20">
        <v>950</v>
      </c>
      <c r="DN31" s="16">
        <f t="shared" si="21"/>
        <v>2850</v>
      </c>
      <c r="DO31" s="20"/>
      <c r="DP31" s="16" t="s">
        <v>144</v>
      </c>
      <c r="DQ31" s="19">
        <v>10</v>
      </c>
      <c r="DR31" s="19">
        <v>700</v>
      </c>
      <c r="DS31" s="16">
        <f t="shared" si="22"/>
        <v>7000</v>
      </c>
      <c r="DT31" s="20"/>
      <c r="DU31" s="20" t="s">
        <v>131</v>
      </c>
      <c r="DV31" s="20"/>
      <c r="DW31" s="20">
        <v>250</v>
      </c>
      <c r="DX31" s="24">
        <f t="shared" si="23"/>
        <v>0</v>
      </c>
    </row>
    <row r="32" spans="1:128" s="2" customFormat="1" x14ac:dyDescent="0.3">
      <c r="A32" s="20"/>
      <c r="B32" s="16" t="str">
        <f>DK8</f>
        <v>MADINAH 3</v>
      </c>
      <c r="C32" s="16">
        <f>DN37</f>
        <v>129300</v>
      </c>
      <c r="D32" s="17"/>
      <c r="E32" s="20"/>
      <c r="F32" s="17"/>
      <c r="G32" s="17"/>
      <c r="H32" s="16">
        <f t="shared" si="0"/>
        <v>0</v>
      </c>
      <c r="I32" s="19"/>
      <c r="J32" s="16" t="s">
        <v>199</v>
      </c>
      <c r="K32" s="19"/>
      <c r="L32" s="19">
        <v>250</v>
      </c>
      <c r="M32" s="16">
        <f t="shared" si="1"/>
        <v>0</v>
      </c>
      <c r="N32" s="17"/>
      <c r="O32" s="16" t="s">
        <v>267</v>
      </c>
      <c r="P32" s="16">
        <v>1</v>
      </c>
      <c r="Q32" s="16">
        <v>15000</v>
      </c>
      <c r="R32" s="16">
        <f t="shared" si="2"/>
        <v>15000</v>
      </c>
      <c r="S32" s="20"/>
      <c r="T32" s="20" t="s">
        <v>268</v>
      </c>
      <c r="U32" s="20"/>
      <c r="V32" s="16">
        <v>57000</v>
      </c>
      <c r="W32" s="16">
        <f t="shared" si="3"/>
        <v>0</v>
      </c>
      <c r="X32" s="16"/>
      <c r="Y32" s="16"/>
      <c r="Z32" s="16"/>
      <c r="AA32" s="16"/>
      <c r="AB32" s="16">
        <f t="shared" si="24"/>
        <v>0</v>
      </c>
      <c r="AC32" s="20"/>
      <c r="AD32" s="16" t="s">
        <v>189</v>
      </c>
      <c r="AE32" s="22">
        <v>1</v>
      </c>
      <c r="AF32" s="19">
        <v>17000</v>
      </c>
      <c r="AG32" s="16">
        <f t="shared" si="4"/>
        <v>17000</v>
      </c>
      <c r="AH32" s="16"/>
      <c r="AI32" s="16" t="s">
        <v>70</v>
      </c>
      <c r="AJ32" s="22"/>
      <c r="AK32" s="19">
        <v>350</v>
      </c>
      <c r="AL32" s="16">
        <f t="shared" si="5"/>
        <v>0</v>
      </c>
      <c r="AM32" s="16"/>
      <c r="AN32" s="16"/>
      <c r="AO32" s="16"/>
      <c r="AP32" s="16"/>
      <c r="AQ32" s="16">
        <f t="shared" si="6"/>
        <v>0</v>
      </c>
      <c r="AR32" s="16"/>
      <c r="AS32" s="16" t="s">
        <v>269</v>
      </c>
      <c r="AT32" s="16">
        <v>1</v>
      </c>
      <c r="AU32" s="16"/>
      <c r="AV32" s="16">
        <f t="shared" si="7"/>
        <v>0</v>
      </c>
      <c r="AW32" s="16"/>
      <c r="AX32" s="16"/>
      <c r="AY32" s="16"/>
      <c r="AZ32" s="16"/>
      <c r="BA32" s="16">
        <f t="shared" si="8"/>
        <v>0</v>
      </c>
      <c r="BB32" s="20"/>
      <c r="BC32" s="20" t="s">
        <v>270</v>
      </c>
      <c r="BD32" s="17"/>
      <c r="BE32" s="17">
        <v>4000</v>
      </c>
      <c r="BF32" s="16">
        <f t="shared" si="9"/>
        <v>0</v>
      </c>
      <c r="BG32" s="20"/>
      <c r="BH32" s="20" t="s">
        <v>53</v>
      </c>
      <c r="BI32" s="20">
        <v>10</v>
      </c>
      <c r="BJ32" s="20">
        <v>1000</v>
      </c>
      <c r="BK32" s="16">
        <f t="shared" si="10"/>
        <v>10000</v>
      </c>
      <c r="BL32" s="16"/>
      <c r="BM32" s="16" t="s">
        <v>53</v>
      </c>
      <c r="BN32" s="16"/>
      <c r="BO32" s="16">
        <v>1000</v>
      </c>
      <c r="BP32" s="16">
        <f t="shared" si="11"/>
        <v>0</v>
      </c>
      <c r="BQ32" s="16"/>
      <c r="BR32" s="16"/>
      <c r="BS32" s="16"/>
      <c r="BT32" s="16"/>
      <c r="BU32" s="16">
        <f t="shared" si="12"/>
        <v>0</v>
      </c>
      <c r="BV32" s="16"/>
      <c r="BW32" s="16"/>
      <c r="BX32" s="16"/>
      <c r="BY32" s="16"/>
      <c r="BZ32" s="20">
        <f t="shared" si="13"/>
        <v>0</v>
      </c>
      <c r="CA32" s="16"/>
      <c r="CB32" s="16"/>
      <c r="CC32" s="16"/>
      <c r="CD32" s="16"/>
      <c r="CE32" s="16">
        <f t="shared" si="14"/>
        <v>0</v>
      </c>
      <c r="CF32" s="16"/>
      <c r="CG32" s="16"/>
      <c r="CH32" s="16"/>
      <c r="CI32" s="23"/>
      <c r="CJ32" s="23">
        <f t="shared" si="15"/>
        <v>0</v>
      </c>
      <c r="CK32" s="20"/>
      <c r="CL32" s="20"/>
      <c r="CM32" s="20"/>
      <c r="CN32" s="20"/>
      <c r="CO32" s="23">
        <f t="shared" si="16"/>
        <v>0</v>
      </c>
      <c r="CP32" s="16"/>
      <c r="CQ32" s="20" t="s">
        <v>88</v>
      </c>
      <c r="CR32" s="20">
        <v>5</v>
      </c>
      <c r="CS32" s="20">
        <v>2500</v>
      </c>
      <c r="CT32" s="23">
        <f t="shared" si="17"/>
        <v>12500</v>
      </c>
      <c r="CU32" s="20"/>
      <c r="CV32" s="20" t="s">
        <v>271</v>
      </c>
      <c r="CW32" s="20"/>
      <c r="CX32" s="20">
        <v>250</v>
      </c>
      <c r="CY32" s="23">
        <f t="shared" si="18"/>
        <v>0</v>
      </c>
      <c r="CZ32" s="20"/>
      <c r="DA32" s="20" t="s">
        <v>272</v>
      </c>
      <c r="DB32" s="20"/>
      <c r="DC32" s="20">
        <v>250</v>
      </c>
      <c r="DD32" s="23">
        <f t="shared" si="25"/>
        <v>0</v>
      </c>
      <c r="DE32" s="16"/>
      <c r="DF32" s="16"/>
      <c r="DG32" s="16"/>
      <c r="DH32" s="16"/>
      <c r="DI32" s="16">
        <f t="shared" si="20"/>
        <v>0</v>
      </c>
      <c r="DJ32" s="20"/>
      <c r="DK32" s="16" t="s">
        <v>146</v>
      </c>
      <c r="DL32" s="22"/>
      <c r="DM32" s="19">
        <v>7000</v>
      </c>
      <c r="DN32" s="16">
        <f t="shared" si="21"/>
        <v>0</v>
      </c>
      <c r="DO32" s="20"/>
      <c r="DP32" s="20" t="s">
        <v>250</v>
      </c>
      <c r="DQ32" s="20">
        <v>2</v>
      </c>
      <c r="DR32" s="20">
        <v>15000</v>
      </c>
      <c r="DS32" s="16">
        <f t="shared" si="22"/>
        <v>30000</v>
      </c>
      <c r="DT32" s="20"/>
      <c r="DU32" s="20" t="s">
        <v>87</v>
      </c>
      <c r="DV32" s="20"/>
      <c r="DW32" s="20">
        <v>1550</v>
      </c>
      <c r="DX32" s="24">
        <f t="shared" si="23"/>
        <v>0</v>
      </c>
    </row>
    <row r="33" spans="1:128" s="2" customFormat="1" x14ac:dyDescent="0.3">
      <c r="A33" s="20"/>
      <c r="B33" s="16" t="str">
        <f>DP8</f>
        <v>AROFAH</v>
      </c>
      <c r="C33" s="16">
        <f>DS37</f>
        <v>120400</v>
      </c>
      <c r="D33" s="17"/>
      <c r="E33" s="20"/>
      <c r="F33" s="17"/>
      <c r="G33" s="17"/>
      <c r="H33" s="16">
        <f t="shared" si="0"/>
        <v>0</v>
      </c>
      <c r="I33" s="19"/>
      <c r="J33" s="16" t="s">
        <v>90</v>
      </c>
      <c r="K33" s="19"/>
      <c r="L33" s="19">
        <v>7000</v>
      </c>
      <c r="M33" s="16">
        <f t="shared" si="1"/>
        <v>0</v>
      </c>
      <c r="N33" s="17"/>
      <c r="O33" s="20" t="s">
        <v>62</v>
      </c>
      <c r="P33" s="21"/>
      <c r="Q33" s="19">
        <v>7000</v>
      </c>
      <c r="R33" s="16">
        <f t="shared" si="2"/>
        <v>0</v>
      </c>
      <c r="S33" s="20"/>
      <c r="T33" s="20" t="s">
        <v>273</v>
      </c>
      <c r="U33" s="20"/>
      <c r="V33" s="20">
        <v>4000</v>
      </c>
      <c r="W33" s="16">
        <f t="shared" si="3"/>
        <v>0</v>
      </c>
      <c r="X33" s="16"/>
      <c r="Y33" s="16"/>
      <c r="Z33" s="16"/>
      <c r="AA33" s="16"/>
      <c r="AB33" s="16">
        <f t="shared" si="24"/>
        <v>0</v>
      </c>
      <c r="AC33" s="20"/>
      <c r="AD33" s="20" t="s">
        <v>274</v>
      </c>
      <c r="AE33" s="20"/>
      <c r="AF33" s="20">
        <v>26500</v>
      </c>
      <c r="AG33" s="16">
        <f t="shared" si="4"/>
        <v>0</v>
      </c>
      <c r="AH33" s="16"/>
      <c r="AI33" s="20" t="s">
        <v>219</v>
      </c>
      <c r="AJ33" s="20">
        <v>2</v>
      </c>
      <c r="AK33" s="16">
        <v>4900</v>
      </c>
      <c r="AL33" s="16">
        <f t="shared" si="5"/>
        <v>9800</v>
      </c>
      <c r="AM33" s="16"/>
      <c r="AN33" s="16"/>
      <c r="AO33" s="16"/>
      <c r="AP33" s="16"/>
      <c r="AQ33" s="16">
        <f t="shared" si="6"/>
        <v>0</v>
      </c>
      <c r="AR33" s="16"/>
      <c r="AS33" s="20" t="s">
        <v>90</v>
      </c>
      <c r="AT33" s="20">
        <v>1</v>
      </c>
      <c r="AU33" s="20">
        <v>7000</v>
      </c>
      <c r="AV33" s="16">
        <f t="shared" si="7"/>
        <v>7000</v>
      </c>
      <c r="AW33" s="16"/>
      <c r="AX33" s="16"/>
      <c r="AY33" s="16"/>
      <c r="AZ33" s="16"/>
      <c r="BA33" s="16">
        <f t="shared" si="8"/>
        <v>0</v>
      </c>
      <c r="BB33" s="20"/>
      <c r="BC33" s="20" t="s">
        <v>275</v>
      </c>
      <c r="BD33" s="17"/>
      <c r="BE33" s="17">
        <v>35000</v>
      </c>
      <c r="BF33" s="16">
        <f t="shared" si="9"/>
        <v>0</v>
      </c>
      <c r="BG33" s="20"/>
      <c r="BH33" s="20" t="s">
        <v>198</v>
      </c>
      <c r="BI33" s="20">
        <v>1</v>
      </c>
      <c r="BJ33" s="20">
        <v>22000</v>
      </c>
      <c r="BK33" s="16">
        <f t="shared" si="10"/>
        <v>22000</v>
      </c>
      <c r="BL33" s="16"/>
      <c r="BM33" s="16" t="s">
        <v>51</v>
      </c>
      <c r="BN33" s="16">
        <v>200</v>
      </c>
      <c r="BO33" s="16">
        <v>250</v>
      </c>
      <c r="BP33" s="16">
        <f t="shared" si="11"/>
        <v>50000</v>
      </c>
      <c r="BQ33" s="16"/>
      <c r="BR33" s="16"/>
      <c r="BS33" s="16"/>
      <c r="BT33" s="16"/>
      <c r="BU33" s="16">
        <f t="shared" si="12"/>
        <v>0</v>
      </c>
      <c r="BV33" s="16"/>
      <c r="BW33" s="16"/>
      <c r="BX33" s="16"/>
      <c r="BY33" s="16"/>
      <c r="BZ33" s="20">
        <f t="shared" si="13"/>
        <v>0</v>
      </c>
      <c r="CA33" s="16"/>
      <c r="CB33" s="16"/>
      <c r="CC33" s="16"/>
      <c r="CD33" s="16"/>
      <c r="CE33" s="16">
        <f t="shared" si="14"/>
        <v>0</v>
      </c>
      <c r="CF33" s="16"/>
      <c r="CG33" s="16"/>
      <c r="CH33" s="16"/>
      <c r="CI33" s="23"/>
      <c r="CJ33" s="23">
        <f t="shared" si="15"/>
        <v>0</v>
      </c>
      <c r="CK33" s="20"/>
      <c r="CL33" s="20"/>
      <c r="CM33" s="20"/>
      <c r="CN33" s="20"/>
      <c r="CO33" s="23">
        <f t="shared" si="16"/>
        <v>0</v>
      </c>
      <c r="CP33" s="16"/>
      <c r="CQ33" s="16" t="s">
        <v>276</v>
      </c>
      <c r="CR33" s="16">
        <v>5</v>
      </c>
      <c r="CS33" s="16"/>
      <c r="CT33" s="23">
        <f t="shared" si="17"/>
        <v>0</v>
      </c>
      <c r="CU33" s="20"/>
      <c r="CV33" s="20" t="s">
        <v>277</v>
      </c>
      <c r="CW33" s="20"/>
      <c r="CX33" s="20">
        <v>250</v>
      </c>
      <c r="CY33" s="23">
        <f t="shared" si="18"/>
        <v>0</v>
      </c>
      <c r="CZ33" s="20"/>
      <c r="DA33" s="20" t="s">
        <v>278</v>
      </c>
      <c r="DB33" s="20"/>
      <c r="DC33" s="20">
        <v>10000</v>
      </c>
      <c r="DD33" s="23">
        <f t="shared" si="25"/>
        <v>0</v>
      </c>
      <c r="DE33" s="16"/>
      <c r="DF33" s="16"/>
      <c r="DG33" s="16"/>
      <c r="DH33" s="16"/>
      <c r="DI33" s="16">
        <f t="shared" si="20"/>
        <v>0</v>
      </c>
      <c r="DJ33" s="20"/>
      <c r="DK33" s="20" t="s">
        <v>54</v>
      </c>
      <c r="DL33" s="20">
        <v>10</v>
      </c>
      <c r="DM33" s="20">
        <v>450</v>
      </c>
      <c r="DN33" s="16">
        <f t="shared" si="21"/>
        <v>4500</v>
      </c>
      <c r="DO33" s="20"/>
      <c r="DP33" s="20"/>
      <c r="DQ33" s="20"/>
      <c r="DR33" s="20"/>
      <c r="DS33" s="16">
        <f t="shared" si="22"/>
        <v>0</v>
      </c>
      <c r="DT33" s="20"/>
      <c r="DU33" s="20" t="s">
        <v>51</v>
      </c>
      <c r="DV33" s="20">
        <v>75</v>
      </c>
      <c r="DW33" s="20">
        <v>100</v>
      </c>
      <c r="DX33" s="24">
        <f t="shared" si="23"/>
        <v>7500</v>
      </c>
    </row>
    <row r="34" spans="1:128" s="2" customFormat="1" x14ac:dyDescent="0.3">
      <c r="A34" s="20"/>
      <c r="B34" s="16" t="s">
        <v>30</v>
      </c>
      <c r="C34" s="16">
        <f>DX37</f>
        <v>83000</v>
      </c>
      <c r="D34" s="17"/>
      <c r="E34" s="20"/>
      <c r="F34" s="17"/>
      <c r="G34" s="17"/>
      <c r="H34" s="16">
        <f t="shared" si="0"/>
        <v>0</v>
      </c>
      <c r="I34" s="19"/>
      <c r="J34" s="16" t="s">
        <v>279</v>
      </c>
      <c r="K34" s="16"/>
      <c r="L34" s="16">
        <v>4000</v>
      </c>
      <c r="M34" s="16">
        <f t="shared" si="1"/>
        <v>0</v>
      </c>
      <c r="N34" s="17"/>
      <c r="O34" s="20" t="s">
        <v>280</v>
      </c>
      <c r="P34" s="21">
        <v>50</v>
      </c>
      <c r="Q34" s="19">
        <v>250</v>
      </c>
      <c r="R34" s="16">
        <f t="shared" si="2"/>
        <v>12500</v>
      </c>
      <c r="S34" s="20"/>
      <c r="T34" s="16" t="s">
        <v>247</v>
      </c>
      <c r="U34" s="16"/>
      <c r="V34" s="16">
        <v>2000</v>
      </c>
      <c r="W34" s="16">
        <f t="shared" si="3"/>
        <v>0</v>
      </c>
      <c r="X34" s="16"/>
      <c r="Y34" s="16"/>
      <c r="Z34" s="16"/>
      <c r="AA34" s="16"/>
      <c r="AB34" s="16">
        <f t="shared" si="24"/>
        <v>0</v>
      </c>
      <c r="AC34" s="20"/>
      <c r="AD34" s="20" t="s">
        <v>244</v>
      </c>
      <c r="AE34" s="20">
        <v>5</v>
      </c>
      <c r="AF34" s="20">
        <v>3900</v>
      </c>
      <c r="AG34" s="16">
        <f t="shared" si="4"/>
        <v>19500</v>
      </c>
      <c r="AH34" s="16"/>
      <c r="AI34" s="16" t="s">
        <v>147</v>
      </c>
      <c r="AJ34" s="22">
        <v>20</v>
      </c>
      <c r="AK34" s="16">
        <v>250</v>
      </c>
      <c r="AL34" s="16">
        <f t="shared" si="5"/>
        <v>5000</v>
      </c>
      <c r="AM34" s="16"/>
      <c r="AN34" s="16"/>
      <c r="AO34" s="16"/>
      <c r="AP34" s="16"/>
      <c r="AQ34" s="16">
        <f t="shared" si="6"/>
        <v>0</v>
      </c>
      <c r="AR34" s="16"/>
      <c r="AS34" s="16"/>
      <c r="AT34" s="16"/>
      <c r="AU34" s="16"/>
      <c r="AV34" s="16">
        <f t="shared" si="7"/>
        <v>0</v>
      </c>
      <c r="AW34" s="16"/>
      <c r="AX34" s="16"/>
      <c r="AY34" s="16"/>
      <c r="AZ34" s="16"/>
      <c r="BA34" s="16">
        <f t="shared" si="8"/>
        <v>0</v>
      </c>
      <c r="BB34" s="20"/>
      <c r="BC34" s="20" t="s">
        <v>269</v>
      </c>
      <c r="BD34" s="20">
        <v>2</v>
      </c>
      <c r="BE34" s="20"/>
      <c r="BF34" s="16">
        <f t="shared" si="9"/>
        <v>0</v>
      </c>
      <c r="BG34" s="20"/>
      <c r="BH34" s="20" t="s">
        <v>51</v>
      </c>
      <c r="BI34" s="20">
        <v>100</v>
      </c>
      <c r="BJ34" s="20">
        <v>100</v>
      </c>
      <c r="BK34" s="16">
        <f t="shared" si="10"/>
        <v>10000</v>
      </c>
      <c r="BL34" s="16"/>
      <c r="BM34" s="16" t="s">
        <v>281</v>
      </c>
      <c r="BN34" s="16">
        <v>10</v>
      </c>
      <c r="BO34" s="16">
        <v>200</v>
      </c>
      <c r="BP34" s="16">
        <f t="shared" si="11"/>
        <v>2000</v>
      </c>
      <c r="BQ34" s="16"/>
      <c r="BR34" s="16"/>
      <c r="BS34" s="16"/>
      <c r="BT34" s="16"/>
      <c r="BU34" s="16">
        <f t="shared" si="12"/>
        <v>0</v>
      </c>
      <c r="BV34" s="16"/>
      <c r="BW34" s="16"/>
      <c r="BX34" s="16"/>
      <c r="BY34" s="16"/>
      <c r="BZ34" s="20">
        <f t="shared" si="13"/>
        <v>0</v>
      </c>
      <c r="CA34" s="16"/>
      <c r="CB34" s="16"/>
      <c r="CC34" s="16"/>
      <c r="CD34" s="16"/>
      <c r="CE34" s="16">
        <f t="shared" si="14"/>
        <v>0</v>
      </c>
      <c r="CF34" s="16"/>
      <c r="CG34" s="16"/>
      <c r="CH34" s="16"/>
      <c r="CI34" s="23"/>
      <c r="CJ34" s="23">
        <f t="shared" si="15"/>
        <v>0</v>
      </c>
      <c r="CK34" s="20"/>
      <c r="CL34" s="20"/>
      <c r="CM34" s="20"/>
      <c r="CN34" s="20"/>
      <c r="CO34" s="23">
        <f t="shared" si="16"/>
        <v>0</v>
      </c>
      <c r="CP34" s="16"/>
      <c r="CQ34" s="16"/>
      <c r="CR34" s="16"/>
      <c r="CS34" s="16"/>
      <c r="CT34" s="23">
        <f t="shared" si="17"/>
        <v>0</v>
      </c>
      <c r="CU34" s="20"/>
      <c r="CV34" s="20" t="s">
        <v>282</v>
      </c>
      <c r="CW34" s="20"/>
      <c r="CX34" s="20">
        <v>250</v>
      </c>
      <c r="CY34" s="23">
        <f t="shared" si="18"/>
        <v>0</v>
      </c>
      <c r="CZ34" s="20"/>
      <c r="DA34" s="20" t="s">
        <v>198</v>
      </c>
      <c r="DB34" s="20"/>
      <c r="DC34" s="20">
        <v>22000</v>
      </c>
      <c r="DD34" s="23">
        <f t="shared" si="25"/>
        <v>0</v>
      </c>
      <c r="DE34" s="16"/>
      <c r="DF34" s="16"/>
      <c r="DG34" s="16"/>
      <c r="DH34" s="16"/>
      <c r="DI34" s="16">
        <f t="shared" si="20"/>
        <v>0</v>
      </c>
      <c r="DJ34" s="20"/>
      <c r="DK34" s="20" t="s">
        <v>70</v>
      </c>
      <c r="DL34" s="20">
        <v>10</v>
      </c>
      <c r="DM34" s="20">
        <v>350</v>
      </c>
      <c r="DN34" s="16">
        <f t="shared" si="21"/>
        <v>3500</v>
      </c>
      <c r="DO34" s="20"/>
      <c r="DP34" s="20"/>
      <c r="DQ34" s="20"/>
      <c r="DR34" s="20"/>
      <c r="DS34" s="16">
        <f t="shared" si="22"/>
        <v>0</v>
      </c>
      <c r="DT34" s="20"/>
      <c r="DU34" s="20" t="s">
        <v>283</v>
      </c>
      <c r="DV34" s="20"/>
      <c r="DW34" s="20">
        <v>35000</v>
      </c>
      <c r="DX34" s="24">
        <f t="shared" si="23"/>
        <v>0</v>
      </c>
    </row>
    <row r="35" spans="1:128" s="2" customFormat="1" x14ac:dyDescent="0.3">
      <c r="A35" s="20"/>
      <c r="B35" s="16"/>
      <c r="C35" s="16"/>
      <c r="D35" s="17"/>
      <c r="E35" s="20"/>
      <c r="F35" s="17"/>
      <c r="G35" s="17"/>
      <c r="H35" s="16">
        <f t="shared" si="0"/>
        <v>0</v>
      </c>
      <c r="I35" s="19"/>
      <c r="J35" s="16" t="s">
        <v>265</v>
      </c>
      <c r="K35" s="16">
        <v>1</v>
      </c>
      <c r="L35" s="16">
        <v>15000</v>
      </c>
      <c r="M35" s="16">
        <f t="shared" si="1"/>
        <v>15000</v>
      </c>
      <c r="N35" s="17"/>
      <c r="O35" s="20" t="s">
        <v>284</v>
      </c>
      <c r="P35" s="21"/>
      <c r="Q35" s="19">
        <v>17000</v>
      </c>
      <c r="R35" s="16">
        <f t="shared" si="2"/>
        <v>0</v>
      </c>
      <c r="S35" s="20"/>
      <c r="T35" s="20" t="s">
        <v>285</v>
      </c>
      <c r="U35" s="20"/>
      <c r="V35" s="20">
        <v>8500</v>
      </c>
      <c r="W35" s="16">
        <f t="shared" si="3"/>
        <v>0</v>
      </c>
      <c r="X35" s="16"/>
      <c r="Y35" s="16"/>
      <c r="Z35" s="16"/>
      <c r="AA35" s="16"/>
      <c r="AB35" s="16">
        <f t="shared" si="24"/>
        <v>0</v>
      </c>
      <c r="AC35" s="20"/>
      <c r="AD35" s="20" t="s">
        <v>286</v>
      </c>
      <c r="AE35" s="20"/>
      <c r="AF35" s="20">
        <v>15000</v>
      </c>
      <c r="AG35" s="16">
        <f t="shared" si="4"/>
        <v>0</v>
      </c>
      <c r="AH35" s="16"/>
      <c r="AI35" s="16" t="s">
        <v>197</v>
      </c>
      <c r="AJ35" s="22"/>
      <c r="AK35" s="16">
        <v>15000</v>
      </c>
      <c r="AL35" s="16">
        <f t="shared" si="5"/>
        <v>0</v>
      </c>
      <c r="AM35" s="16"/>
      <c r="AN35" s="16"/>
      <c r="AO35" s="16"/>
      <c r="AP35" s="16"/>
      <c r="AQ35" s="16">
        <f t="shared" si="6"/>
        <v>0</v>
      </c>
      <c r="AR35" s="16"/>
      <c r="AS35" s="16"/>
      <c r="AT35" s="16"/>
      <c r="AU35" s="16"/>
      <c r="AV35" s="16">
        <f t="shared" si="7"/>
        <v>0</v>
      </c>
      <c r="AW35" s="16"/>
      <c r="AX35" s="16"/>
      <c r="AY35" s="16"/>
      <c r="AZ35" s="16"/>
      <c r="BA35" s="16">
        <f t="shared" si="8"/>
        <v>0</v>
      </c>
      <c r="BB35" s="20"/>
      <c r="BC35" s="20" t="s">
        <v>51</v>
      </c>
      <c r="BD35" s="17">
        <v>30</v>
      </c>
      <c r="BE35" s="17">
        <v>100</v>
      </c>
      <c r="BF35" s="16">
        <f t="shared" si="9"/>
        <v>3000</v>
      </c>
      <c r="BG35" s="20"/>
      <c r="BH35" s="20" t="s">
        <v>152</v>
      </c>
      <c r="BI35" s="20">
        <v>2</v>
      </c>
      <c r="BJ35" s="20">
        <v>3600</v>
      </c>
      <c r="BK35" s="16">
        <f t="shared" si="10"/>
        <v>7200</v>
      </c>
      <c r="BL35" s="16"/>
      <c r="BM35" s="16" t="s">
        <v>179</v>
      </c>
      <c r="BN35" s="16"/>
      <c r="BO35" s="16">
        <v>35000</v>
      </c>
      <c r="BP35" s="16">
        <f t="shared" si="11"/>
        <v>0</v>
      </c>
      <c r="BQ35" s="16"/>
      <c r="BR35" s="16"/>
      <c r="BS35" s="16"/>
      <c r="BT35" s="16"/>
      <c r="BU35" s="16">
        <f t="shared" si="12"/>
        <v>0</v>
      </c>
      <c r="BV35" s="16"/>
      <c r="BW35" s="16"/>
      <c r="BX35" s="16"/>
      <c r="BY35" s="16"/>
      <c r="BZ35" s="20">
        <f t="shared" si="13"/>
        <v>0</v>
      </c>
      <c r="CA35" s="16"/>
      <c r="CB35" s="16"/>
      <c r="CC35" s="16"/>
      <c r="CD35" s="16"/>
      <c r="CE35" s="16">
        <f t="shared" si="14"/>
        <v>0</v>
      </c>
      <c r="CF35" s="16"/>
      <c r="CG35" s="16"/>
      <c r="CH35" s="16"/>
      <c r="CI35" s="23"/>
      <c r="CJ35" s="23">
        <f t="shared" si="15"/>
        <v>0</v>
      </c>
      <c r="CK35" s="20"/>
      <c r="CL35" s="20"/>
      <c r="CM35" s="20"/>
      <c r="CN35" s="20"/>
      <c r="CO35" s="23">
        <f t="shared" si="16"/>
        <v>0</v>
      </c>
      <c r="CP35" s="16"/>
      <c r="CQ35" s="16"/>
      <c r="CR35" s="16"/>
      <c r="CS35" s="16"/>
      <c r="CT35" s="23">
        <f t="shared" si="17"/>
        <v>0</v>
      </c>
      <c r="CU35" s="20"/>
      <c r="CV35" s="20" t="s">
        <v>53</v>
      </c>
      <c r="CW35" s="20"/>
      <c r="CX35" s="20">
        <v>1000</v>
      </c>
      <c r="CY35" s="23">
        <f t="shared" si="18"/>
        <v>0</v>
      </c>
      <c r="CZ35" s="20"/>
      <c r="DA35" s="20" t="s">
        <v>84</v>
      </c>
      <c r="DB35" s="20"/>
      <c r="DC35" s="20">
        <v>100</v>
      </c>
      <c r="DD35" s="23">
        <f t="shared" si="25"/>
        <v>0</v>
      </c>
      <c r="DE35" s="16"/>
      <c r="DF35" s="16"/>
      <c r="DG35" s="16"/>
      <c r="DH35" s="16"/>
      <c r="DI35" s="16">
        <f t="shared" si="20"/>
        <v>0</v>
      </c>
      <c r="DJ35" s="20"/>
      <c r="DK35" s="20" t="s">
        <v>287</v>
      </c>
      <c r="DL35" s="20"/>
      <c r="DM35" s="20">
        <v>250</v>
      </c>
      <c r="DN35" s="16">
        <f t="shared" si="21"/>
        <v>0</v>
      </c>
      <c r="DO35" s="20"/>
      <c r="DP35" s="20"/>
      <c r="DQ35" s="20"/>
      <c r="DR35" s="20"/>
      <c r="DS35" s="16">
        <f t="shared" si="22"/>
        <v>0</v>
      </c>
      <c r="DT35" s="20"/>
      <c r="DU35" s="20" t="s">
        <v>54</v>
      </c>
      <c r="DV35" s="20">
        <v>10</v>
      </c>
      <c r="DW35" s="20">
        <v>450</v>
      </c>
      <c r="DX35" s="24">
        <f t="shared" si="23"/>
        <v>4500</v>
      </c>
    </row>
    <row r="36" spans="1:128" s="2" customFormat="1" x14ac:dyDescent="0.3">
      <c r="A36" s="20"/>
      <c r="B36" s="16"/>
      <c r="C36" s="16"/>
      <c r="D36" s="17"/>
      <c r="E36" s="20"/>
      <c r="F36" s="17"/>
      <c r="G36" s="17"/>
      <c r="H36" s="16">
        <f t="shared" si="0"/>
        <v>0</v>
      </c>
      <c r="I36" s="19"/>
      <c r="J36" s="16" t="s">
        <v>288</v>
      </c>
      <c r="K36" s="19"/>
      <c r="L36" s="19">
        <v>26500</v>
      </c>
      <c r="M36" s="16">
        <f t="shared" si="1"/>
        <v>0</v>
      </c>
      <c r="N36" s="17"/>
      <c r="O36" s="20" t="s">
        <v>289</v>
      </c>
      <c r="P36" s="20">
        <v>50</v>
      </c>
      <c r="Q36" s="16">
        <v>250</v>
      </c>
      <c r="R36" s="16">
        <f t="shared" si="2"/>
        <v>12500</v>
      </c>
      <c r="S36" s="20"/>
      <c r="T36" s="20" t="s">
        <v>84</v>
      </c>
      <c r="U36" s="20"/>
      <c r="V36" s="20">
        <v>100</v>
      </c>
      <c r="W36" s="16">
        <f t="shared" si="3"/>
        <v>0</v>
      </c>
      <c r="X36" s="16"/>
      <c r="Y36" s="16"/>
      <c r="Z36" s="16"/>
      <c r="AA36" s="16"/>
      <c r="AB36" s="16">
        <f t="shared" si="24"/>
        <v>0</v>
      </c>
      <c r="AC36" s="20"/>
      <c r="AD36" s="16" t="s">
        <v>45</v>
      </c>
      <c r="AE36" s="16">
        <v>1</v>
      </c>
      <c r="AF36" s="23">
        <v>46500</v>
      </c>
      <c r="AG36" s="16">
        <f t="shared" si="4"/>
        <v>46500</v>
      </c>
      <c r="AH36" s="16"/>
      <c r="AI36" s="16" t="s">
        <v>290</v>
      </c>
      <c r="AJ36" s="22">
        <v>50</v>
      </c>
      <c r="AK36" s="16">
        <v>250</v>
      </c>
      <c r="AL36" s="16">
        <f t="shared" si="5"/>
        <v>12500</v>
      </c>
      <c r="AM36" s="16"/>
      <c r="AN36" s="16"/>
      <c r="AO36" s="16"/>
      <c r="AP36" s="16"/>
      <c r="AQ36" s="16">
        <f t="shared" si="6"/>
        <v>0</v>
      </c>
      <c r="AR36" s="16"/>
      <c r="AS36" s="16"/>
      <c r="AT36" s="16"/>
      <c r="AU36" s="16"/>
      <c r="AV36" s="16">
        <f t="shared" si="7"/>
        <v>0</v>
      </c>
      <c r="AW36" s="16"/>
      <c r="AX36" s="16"/>
      <c r="AY36" s="16"/>
      <c r="AZ36" s="16"/>
      <c r="BA36" s="16">
        <f t="shared" si="8"/>
        <v>0</v>
      </c>
      <c r="BB36" s="20"/>
      <c r="BC36" s="20" t="s">
        <v>87</v>
      </c>
      <c r="BD36" s="20">
        <v>1</v>
      </c>
      <c r="BE36" s="20">
        <v>1550</v>
      </c>
      <c r="BF36" s="16">
        <f t="shared" si="9"/>
        <v>1550</v>
      </c>
      <c r="BG36" s="20"/>
      <c r="BH36" s="16" t="s">
        <v>213</v>
      </c>
      <c r="BI36" s="16"/>
      <c r="BJ36" s="16">
        <v>2000</v>
      </c>
      <c r="BK36" s="16">
        <f t="shared" si="10"/>
        <v>0</v>
      </c>
      <c r="BL36" s="16"/>
      <c r="BM36" s="16" t="s">
        <v>110</v>
      </c>
      <c r="BN36" s="16"/>
      <c r="BO36" s="16">
        <v>85000</v>
      </c>
      <c r="BP36" s="16">
        <f t="shared" si="11"/>
        <v>0</v>
      </c>
      <c r="BQ36" s="16"/>
      <c r="BR36" s="16"/>
      <c r="BS36" s="16"/>
      <c r="BT36" s="16"/>
      <c r="BU36" s="16">
        <f t="shared" si="12"/>
        <v>0</v>
      </c>
      <c r="BV36" s="16"/>
      <c r="BW36" s="16"/>
      <c r="BX36" s="16"/>
      <c r="BY36" s="16"/>
      <c r="BZ36" s="20">
        <f t="shared" si="13"/>
        <v>0</v>
      </c>
      <c r="CA36" s="16"/>
      <c r="CB36" s="16"/>
      <c r="CC36" s="16"/>
      <c r="CD36" s="16"/>
      <c r="CE36" s="16">
        <f t="shared" si="14"/>
        <v>0</v>
      </c>
      <c r="CF36" s="16"/>
      <c r="CG36" s="16"/>
      <c r="CH36" s="16"/>
      <c r="CI36" s="23"/>
      <c r="CJ36" s="23">
        <f t="shared" si="15"/>
        <v>0</v>
      </c>
      <c r="CK36" s="20"/>
      <c r="CL36" s="20"/>
      <c r="CM36" s="20"/>
      <c r="CN36" s="20"/>
      <c r="CO36" s="23">
        <f t="shared" si="16"/>
        <v>0</v>
      </c>
      <c r="CP36" s="16"/>
      <c r="CQ36" s="16"/>
      <c r="CR36" s="16"/>
      <c r="CS36" s="16"/>
      <c r="CT36" s="23">
        <f t="shared" si="17"/>
        <v>0</v>
      </c>
      <c r="CU36" s="20"/>
      <c r="CV36" s="20" t="s">
        <v>69</v>
      </c>
      <c r="CW36" s="20"/>
      <c r="CX36" s="20">
        <v>1000</v>
      </c>
      <c r="CY36" s="23">
        <f t="shared" si="18"/>
        <v>0</v>
      </c>
      <c r="CZ36" s="20"/>
      <c r="DA36" s="20"/>
      <c r="DB36" s="20"/>
      <c r="DC36" s="20"/>
      <c r="DD36" s="23">
        <f t="shared" si="25"/>
        <v>0</v>
      </c>
      <c r="DE36" s="16"/>
      <c r="DF36" s="16"/>
      <c r="DG36" s="16"/>
      <c r="DH36" s="16"/>
      <c r="DI36" s="16">
        <f t="shared" si="20"/>
        <v>0</v>
      </c>
      <c r="DJ36" s="20"/>
      <c r="DK36" s="20" t="s">
        <v>291</v>
      </c>
      <c r="DL36" s="20"/>
      <c r="DM36" s="20">
        <v>250</v>
      </c>
      <c r="DN36" s="16">
        <f t="shared" si="21"/>
        <v>0</v>
      </c>
      <c r="DO36" s="20"/>
      <c r="DP36" s="20"/>
      <c r="DQ36" s="20"/>
      <c r="DR36" s="20"/>
      <c r="DS36" s="16">
        <f t="shared" si="22"/>
        <v>0</v>
      </c>
      <c r="DT36" s="20"/>
      <c r="DU36" s="20" t="s">
        <v>70</v>
      </c>
      <c r="DV36" s="20">
        <v>10</v>
      </c>
      <c r="DW36" s="20">
        <v>350</v>
      </c>
      <c r="DX36" s="24">
        <f t="shared" si="23"/>
        <v>3500</v>
      </c>
    </row>
    <row r="37" spans="1:128" s="2" customFormat="1" x14ac:dyDescent="0.3">
      <c r="A37" s="28"/>
      <c r="B37" s="29" t="s">
        <v>292</v>
      </c>
      <c r="C37" s="29">
        <f>SUM(C10:C36)</f>
        <v>7074800</v>
      </c>
      <c r="D37" s="30" t="s">
        <v>293</v>
      </c>
      <c r="E37" s="30"/>
      <c r="F37" s="30"/>
      <c r="G37" s="30"/>
      <c r="H37" s="31">
        <f>SUM(H10:H36)</f>
        <v>0</v>
      </c>
      <c r="I37" s="32" t="s">
        <v>293</v>
      </c>
      <c r="J37" s="32"/>
      <c r="K37" s="32"/>
      <c r="L37" s="32"/>
      <c r="M37" s="29">
        <f>SUM(M10:M36)</f>
        <v>128600</v>
      </c>
      <c r="N37" s="33" t="s">
        <v>293</v>
      </c>
      <c r="O37" s="33"/>
      <c r="P37" s="33"/>
      <c r="Q37" s="34"/>
      <c r="R37" s="29">
        <f>SUM(R10:R36)</f>
        <v>1048000</v>
      </c>
      <c r="S37" s="30" t="s">
        <v>293</v>
      </c>
      <c r="T37" s="30"/>
      <c r="U37" s="30"/>
      <c r="V37" s="30"/>
      <c r="W37" s="31">
        <f>SUM(W10:W36)</f>
        <v>141400</v>
      </c>
      <c r="X37" s="32" t="s">
        <v>293</v>
      </c>
      <c r="Y37" s="32"/>
      <c r="Z37" s="32"/>
      <c r="AA37" s="32"/>
      <c r="AB37" s="29">
        <f>SUM(AB10:AB36)</f>
        <v>1635000</v>
      </c>
      <c r="AC37" s="30" t="s">
        <v>293</v>
      </c>
      <c r="AD37" s="30"/>
      <c r="AE37" s="30"/>
      <c r="AF37" s="30"/>
      <c r="AG37" s="31">
        <f>SUM(AG10:AG36)</f>
        <v>613700</v>
      </c>
      <c r="AH37" s="32"/>
      <c r="AI37" s="32"/>
      <c r="AJ37" s="32"/>
      <c r="AK37" s="32"/>
      <c r="AL37" s="29">
        <f>SUM(AL10:AL36)</f>
        <v>303800</v>
      </c>
      <c r="AM37" s="32" t="s">
        <v>293</v>
      </c>
      <c r="AN37" s="32"/>
      <c r="AO37" s="32"/>
      <c r="AP37" s="32"/>
      <c r="AQ37" s="29">
        <f>SUM(AQ10:AQ36)</f>
        <v>110000</v>
      </c>
      <c r="AR37" s="32" t="s">
        <v>293</v>
      </c>
      <c r="AS37" s="32"/>
      <c r="AT37" s="32"/>
      <c r="AU37" s="32"/>
      <c r="AV37" s="29">
        <f>SUM(AV10:AV36)</f>
        <v>194800</v>
      </c>
      <c r="AW37" s="32" t="s">
        <v>293</v>
      </c>
      <c r="AX37" s="32"/>
      <c r="AY37" s="32"/>
      <c r="AZ37" s="32"/>
      <c r="BA37" s="29">
        <f>SUM(BA10:BA36)</f>
        <v>123500</v>
      </c>
      <c r="BB37" s="30" t="s">
        <v>293</v>
      </c>
      <c r="BC37" s="30"/>
      <c r="BD37" s="30"/>
      <c r="BE37" s="30"/>
      <c r="BF37" s="31">
        <f>SUM(BF10:BF36)</f>
        <v>92500</v>
      </c>
      <c r="BG37" s="30" t="s">
        <v>293</v>
      </c>
      <c r="BH37" s="30"/>
      <c r="BI37" s="30"/>
      <c r="BJ37" s="30"/>
      <c r="BK37" s="31">
        <f>SUM(BK10:BK36)</f>
        <v>281050</v>
      </c>
      <c r="BL37" s="32" t="s">
        <v>293</v>
      </c>
      <c r="BM37" s="32"/>
      <c r="BN37" s="32"/>
      <c r="BO37" s="32"/>
      <c r="BP37" s="29">
        <f>SUM(BP10:BP36)</f>
        <v>212450</v>
      </c>
      <c r="BQ37" s="32" t="s">
        <v>293</v>
      </c>
      <c r="BR37" s="32"/>
      <c r="BS37" s="32"/>
      <c r="BT37" s="32"/>
      <c r="BU37" s="29">
        <f>SUM(BU10:BU36)</f>
        <v>0</v>
      </c>
      <c r="BV37" s="32" t="s">
        <v>293</v>
      </c>
      <c r="BW37" s="32"/>
      <c r="BX37" s="32"/>
      <c r="BY37" s="32"/>
      <c r="BZ37" s="29">
        <f>SUM(BZ10:BZ36)</f>
        <v>787650</v>
      </c>
      <c r="CA37" s="32" t="s">
        <v>293</v>
      </c>
      <c r="CB37" s="32"/>
      <c r="CC37" s="32"/>
      <c r="CD37" s="32"/>
      <c r="CE37" s="29">
        <f>SUM(CE10:CE36)</f>
        <v>6500</v>
      </c>
      <c r="CF37" s="32" t="s">
        <v>293</v>
      </c>
      <c r="CG37" s="32"/>
      <c r="CH37" s="32"/>
      <c r="CI37" s="32"/>
      <c r="CJ37" s="29">
        <f>SUM(CJ10:CJ36)</f>
        <v>618000</v>
      </c>
      <c r="CK37" s="30" t="s">
        <v>293</v>
      </c>
      <c r="CL37" s="30"/>
      <c r="CM37" s="30"/>
      <c r="CN37" s="30"/>
      <c r="CO37" s="29">
        <f>SUM(CO10:CO36)</f>
        <v>166850</v>
      </c>
      <c r="CP37" s="32" t="s">
        <v>293</v>
      </c>
      <c r="CQ37" s="32"/>
      <c r="CR37" s="32"/>
      <c r="CS37" s="32"/>
      <c r="CT37" s="29">
        <f>SUM(CT10:CT36)</f>
        <v>163700</v>
      </c>
      <c r="CU37" s="30" t="s">
        <v>293</v>
      </c>
      <c r="CV37" s="30"/>
      <c r="CW37" s="30"/>
      <c r="CX37" s="30"/>
      <c r="CY37" s="29">
        <f>SUM(CY10:CY36)</f>
        <v>0</v>
      </c>
      <c r="CZ37" s="30" t="s">
        <v>293</v>
      </c>
      <c r="DA37" s="30"/>
      <c r="DB37" s="30"/>
      <c r="DC37" s="30"/>
      <c r="DD37" s="29">
        <f>SUM(DD10:DD36)</f>
        <v>0</v>
      </c>
      <c r="DE37" s="32" t="s">
        <v>293</v>
      </c>
      <c r="DF37" s="32"/>
      <c r="DG37" s="32"/>
      <c r="DH37" s="32"/>
      <c r="DI37" s="29">
        <f>SUM(DI10:DI36)</f>
        <v>114600</v>
      </c>
      <c r="DJ37" s="30" t="s">
        <v>293</v>
      </c>
      <c r="DK37" s="30"/>
      <c r="DL37" s="30"/>
      <c r="DM37" s="30"/>
      <c r="DN37" s="29">
        <f>SUM(DN10:DN36)</f>
        <v>129300</v>
      </c>
      <c r="DO37" s="33" t="s">
        <v>293</v>
      </c>
      <c r="DP37" s="35"/>
      <c r="DQ37" s="35"/>
      <c r="DR37" s="36"/>
      <c r="DS37" s="29">
        <f>SUM(DS10:DS36)</f>
        <v>120400</v>
      </c>
      <c r="DT37" s="30" t="s">
        <v>293</v>
      </c>
      <c r="DU37" s="30"/>
      <c r="DV37" s="30"/>
      <c r="DW37" s="30"/>
      <c r="DX37" s="37">
        <f>SUM(DX10:DX36)</f>
        <v>83000</v>
      </c>
    </row>
    <row r="38" spans="1:128" s="2" customFormat="1" ht="15" customHeight="1" x14ac:dyDescent="0.3">
      <c r="A38" s="7" t="s">
        <v>2</v>
      </c>
      <c r="B38" s="8" t="s">
        <v>3</v>
      </c>
      <c r="C38" s="9" t="s">
        <v>4</v>
      </c>
      <c r="D38" s="7" t="s">
        <v>5</v>
      </c>
      <c r="E38" s="10" t="s">
        <v>6</v>
      </c>
      <c r="F38" s="10"/>
      <c r="G38" s="10"/>
      <c r="H38" s="10"/>
      <c r="I38" s="7" t="s">
        <v>5</v>
      </c>
      <c r="J38" s="10" t="s">
        <v>7</v>
      </c>
      <c r="K38" s="10"/>
      <c r="L38" s="10"/>
      <c r="M38" s="10"/>
      <c r="N38" s="7" t="s">
        <v>5</v>
      </c>
      <c r="O38" s="10" t="s">
        <v>8</v>
      </c>
      <c r="P38" s="10"/>
      <c r="Q38" s="10"/>
      <c r="R38" s="10"/>
      <c r="S38" s="7" t="s">
        <v>5</v>
      </c>
      <c r="T38" s="10" t="s">
        <v>9</v>
      </c>
      <c r="U38" s="10"/>
      <c r="V38" s="10"/>
      <c r="W38" s="10"/>
      <c r="X38" s="7" t="s">
        <v>5</v>
      </c>
      <c r="Y38" s="10" t="s">
        <v>10</v>
      </c>
      <c r="Z38" s="10"/>
      <c r="AA38" s="10"/>
      <c r="AB38" s="10"/>
      <c r="AC38" s="7" t="s">
        <v>5</v>
      </c>
      <c r="AD38" s="10" t="s">
        <v>11</v>
      </c>
      <c r="AE38" s="10"/>
      <c r="AF38" s="10"/>
      <c r="AG38" s="10"/>
      <c r="AH38" s="7" t="s">
        <v>5</v>
      </c>
      <c r="AI38" s="10" t="s">
        <v>12</v>
      </c>
      <c r="AJ38" s="10"/>
      <c r="AK38" s="10"/>
      <c r="AL38" s="10"/>
      <c r="AM38" s="7" t="s">
        <v>5</v>
      </c>
      <c r="AN38" s="10" t="s">
        <v>13</v>
      </c>
      <c r="AO38" s="10"/>
      <c r="AP38" s="10"/>
      <c r="AQ38" s="10"/>
      <c r="AR38" s="7" t="s">
        <v>5</v>
      </c>
      <c r="AS38" s="10" t="s">
        <v>14</v>
      </c>
      <c r="AT38" s="10"/>
      <c r="AU38" s="10"/>
      <c r="AV38" s="10"/>
      <c r="AW38" s="7" t="s">
        <v>5</v>
      </c>
      <c r="AX38" s="10" t="s">
        <v>15</v>
      </c>
      <c r="AY38" s="10"/>
      <c r="AZ38" s="10"/>
      <c r="BA38" s="10"/>
      <c r="BB38" s="7" t="s">
        <v>5</v>
      </c>
      <c r="BC38" s="10" t="s">
        <v>16</v>
      </c>
      <c r="BD38" s="10"/>
      <c r="BE38" s="10"/>
      <c r="BF38" s="10"/>
      <c r="BG38" s="7" t="s">
        <v>5</v>
      </c>
      <c r="BH38" s="10" t="s">
        <v>17</v>
      </c>
      <c r="BI38" s="10"/>
      <c r="BJ38" s="10"/>
      <c r="BK38" s="10"/>
      <c r="BL38" s="7" t="s">
        <v>5</v>
      </c>
      <c r="BM38" s="10" t="s">
        <v>18</v>
      </c>
      <c r="BN38" s="10"/>
      <c r="BO38" s="10"/>
      <c r="BP38" s="10"/>
      <c r="BQ38" s="7" t="s">
        <v>5</v>
      </c>
      <c r="BR38" s="10" t="s">
        <v>19</v>
      </c>
      <c r="BS38" s="10"/>
      <c r="BT38" s="10"/>
      <c r="BU38" s="10"/>
      <c r="BV38" s="7" t="s">
        <v>5</v>
      </c>
      <c r="BW38" s="10" t="s">
        <v>20</v>
      </c>
      <c r="BX38" s="10"/>
      <c r="BY38" s="10"/>
      <c r="BZ38" s="10"/>
      <c r="CA38" s="7" t="s">
        <v>5</v>
      </c>
      <c r="CB38" s="10" t="s">
        <v>21</v>
      </c>
      <c r="CC38" s="10"/>
      <c r="CD38" s="10"/>
      <c r="CE38" s="10"/>
      <c r="CF38" s="7" t="s">
        <v>5</v>
      </c>
      <c r="CG38" s="38" t="s">
        <v>22</v>
      </c>
      <c r="CH38" s="38"/>
      <c r="CI38" s="38"/>
      <c r="CJ38" s="38"/>
      <c r="CK38" s="7" t="s">
        <v>5</v>
      </c>
      <c r="CL38" s="10" t="s">
        <v>23</v>
      </c>
      <c r="CM38" s="10"/>
      <c r="CN38" s="10"/>
      <c r="CO38" s="10"/>
      <c r="CP38" s="7" t="s">
        <v>5</v>
      </c>
      <c r="CQ38" s="10" t="s">
        <v>24</v>
      </c>
      <c r="CR38" s="10"/>
      <c r="CS38" s="10"/>
      <c r="CT38" s="10"/>
      <c r="CU38" s="7" t="s">
        <v>5</v>
      </c>
      <c r="CV38" s="10" t="s">
        <v>25</v>
      </c>
      <c r="CW38" s="10"/>
      <c r="CX38" s="10"/>
      <c r="CY38" s="10"/>
      <c r="CZ38" s="7" t="s">
        <v>5</v>
      </c>
      <c r="DA38" s="10" t="s">
        <v>26</v>
      </c>
      <c r="DB38" s="10"/>
      <c r="DC38" s="10"/>
      <c r="DD38" s="10"/>
      <c r="DE38" s="7" t="s">
        <v>5</v>
      </c>
      <c r="DF38" s="10" t="s">
        <v>27</v>
      </c>
      <c r="DG38" s="10"/>
      <c r="DH38" s="10"/>
      <c r="DI38" s="10"/>
      <c r="DJ38" s="7" t="s">
        <v>5</v>
      </c>
      <c r="DK38" s="10" t="s">
        <v>28</v>
      </c>
      <c r="DL38" s="10"/>
      <c r="DM38" s="10"/>
      <c r="DN38" s="10"/>
      <c r="DO38" s="7" t="s">
        <v>5</v>
      </c>
      <c r="DP38" s="38" t="s">
        <v>29</v>
      </c>
      <c r="DQ38" s="39"/>
      <c r="DR38" s="39"/>
      <c r="DS38" s="40"/>
      <c r="DT38" s="7" t="s">
        <v>5</v>
      </c>
      <c r="DU38" s="10" t="s">
        <v>30</v>
      </c>
      <c r="DV38" s="10"/>
      <c r="DW38" s="10"/>
      <c r="DX38" s="10"/>
    </row>
    <row r="39" spans="1:128" s="2" customFormat="1" ht="28.8" x14ac:dyDescent="0.3">
      <c r="A39" s="7"/>
      <c r="B39" s="8"/>
      <c r="C39" s="9"/>
      <c r="D39" s="7"/>
      <c r="E39" s="11" t="s">
        <v>31</v>
      </c>
      <c r="F39" s="12" t="s">
        <v>32</v>
      </c>
      <c r="G39" s="12" t="s">
        <v>33</v>
      </c>
      <c r="H39" s="13" t="s">
        <v>34</v>
      </c>
      <c r="I39" s="7"/>
      <c r="J39" s="11" t="s">
        <v>31</v>
      </c>
      <c r="K39" s="14" t="s">
        <v>32</v>
      </c>
      <c r="L39" s="14" t="s">
        <v>33</v>
      </c>
      <c r="M39" s="13" t="s">
        <v>34</v>
      </c>
      <c r="N39" s="7"/>
      <c r="O39" s="13" t="s">
        <v>31</v>
      </c>
      <c r="P39" s="14" t="s">
        <v>32</v>
      </c>
      <c r="Q39" s="14" t="s">
        <v>33</v>
      </c>
      <c r="R39" s="13" t="s">
        <v>34</v>
      </c>
      <c r="S39" s="7"/>
      <c r="T39" s="13" t="s">
        <v>31</v>
      </c>
      <c r="U39" s="14" t="s">
        <v>32</v>
      </c>
      <c r="V39" s="14" t="s">
        <v>35</v>
      </c>
      <c r="W39" s="13" t="s">
        <v>34</v>
      </c>
      <c r="X39" s="7"/>
      <c r="Y39" s="13" t="s">
        <v>31</v>
      </c>
      <c r="Z39" s="14" t="s">
        <v>32</v>
      </c>
      <c r="AA39" s="14"/>
      <c r="AB39" s="13" t="s">
        <v>34</v>
      </c>
      <c r="AC39" s="7"/>
      <c r="AD39" s="13" t="s">
        <v>31</v>
      </c>
      <c r="AE39" s="14" t="s">
        <v>32</v>
      </c>
      <c r="AF39" s="12" t="s">
        <v>33</v>
      </c>
      <c r="AG39" s="13" t="s">
        <v>34</v>
      </c>
      <c r="AH39" s="7"/>
      <c r="AI39" s="13" t="s">
        <v>31</v>
      </c>
      <c r="AJ39" s="12" t="s">
        <v>32</v>
      </c>
      <c r="AK39" s="14" t="s">
        <v>35</v>
      </c>
      <c r="AL39" s="13" t="s">
        <v>34</v>
      </c>
      <c r="AM39" s="7"/>
      <c r="AN39" s="13" t="s">
        <v>31</v>
      </c>
      <c r="AO39" s="14" t="s">
        <v>32</v>
      </c>
      <c r="AP39" s="14" t="s">
        <v>33</v>
      </c>
      <c r="AQ39" s="13" t="s">
        <v>34</v>
      </c>
      <c r="AR39" s="7"/>
      <c r="AS39" s="13" t="s">
        <v>31</v>
      </c>
      <c r="AT39" s="14" t="s">
        <v>32</v>
      </c>
      <c r="AU39" s="14" t="s">
        <v>35</v>
      </c>
      <c r="AV39" s="13" t="s">
        <v>34</v>
      </c>
      <c r="AW39" s="7"/>
      <c r="AX39" s="13" t="s">
        <v>31</v>
      </c>
      <c r="AY39" s="14" t="s">
        <v>32</v>
      </c>
      <c r="AZ39" s="14" t="s">
        <v>35</v>
      </c>
      <c r="BA39" s="13" t="s">
        <v>34</v>
      </c>
      <c r="BB39" s="7"/>
      <c r="BC39" s="13" t="s">
        <v>31</v>
      </c>
      <c r="BD39" s="12" t="s">
        <v>32</v>
      </c>
      <c r="BE39" s="12" t="s">
        <v>35</v>
      </c>
      <c r="BF39" s="13" t="s">
        <v>34</v>
      </c>
      <c r="BG39" s="7"/>
      <c r="BH39" s="13" t="s">
        <v>31</v>
      </c>
      <c r="BI39" s="14" t="s">
        <v>32</v>
      </c>
      <c r="BJ39" s="14"/>
      <c r="BK39" s="13" t="s">
        <v>34</v>
      </c>
      <c r="BL39" s="7"/>
      <c r="BM39" s="13" t="s">
        <v>31</v>
      </c>
      <c r="BN39" s="14" t="s">
        <v>32</v>
      </c>
      <c r="BO39" s="14" t="s">
        <v>35</v>
      </c>
      <c r="BP39" s="13" t="s">
        <v>34</v>
      </c>
      <c r="BQ39" s="7"/>
      <c r="BR39" s="13" t="s">
        <v>31</v>
      </c>
      <c r="BS39" s="14" t="s">
        <v>32</v>
      </c>
      <c r="BT39" s="14" t="s">
        <v>33</v>
      </c>
      <c r="BU39" s="13" t="s">
        <v>34</v>
      </c>
      <c r="BV39" s="7"/>
      <c r="BW39" s="13" t="s">
        <v>31</v>
      </c>
      <c r="BX39" s="14" t="s">
        <v>32</v>
      </c>
      <c r="BY39" s="14" t="s">
        <v>35</v>
      </c>
      <c r="BZ39" s="13" t="s">
        <v>34</v>
      </c>
      <c r="CA39" s="7"/>
      <c r="CB39" s="13" t="s">
        <v>31</v>
      </c>
      <c r="CC39" s="14" t="s">
        <v>32</v>
      </c>
      <c r="CD39" s="14" t="s">
        <v>33</v>
      </c>
      <c r="CE39" s="13" t="s">
        <v>34</v>
      </c>
      <c r="CF39" s="7"/>
      <c r="CG39" s="13" t="s">
        <v>31</v>
      </c>
      <c r="CH39" s="14" t="s">
        <v>32</v>
      </c>
      <c r="CI39" s="12" t="s">
        <v>35</v>
      </c>
      <c r="CJ39" s="41" t="s">
        <v>34</v>
      </c>
      <c r="CK39" s="7"/>
      <c r="CL39" s="13" t="s">
        <v>31</v>
      </c>
      <c r="CM39" s="12" t="s">
        <v>32</v>
      </c>
      <c r="CN39" s="12" t="s">
        <v>35</v>
      </c>
      <c r="CO39" s="13" t="s">
        <v>37</v>
      </c>
      <c r="CP39" s="7"/>
      <c r="CQ39" s="13" t="s">
        <v>31</v>
      </c>
      <c r="CR39" s="12" t="s">
        <v>32</v>
      </c>
      <c r="CS39" s="12" t="s">
        <v>35</v>
      </c>
      <c r="CT39" s="13" t="s">
        <v>37</v>
      </c>
      <c r="CU39" s="7"/>
      <c r="CV39" s="13" t="s">
        <v>31</v>
      </c>
      <c r="CW39" s="12" t="s">
        <v>32</v>
      </c>
      <c r="CX39" s="12" t="s">
        <v>35</v>
      </c>
      <c r="CY39" s="13" t="s">
        <v>37</v>
      </c>
      <c r="CZ39" s="7"/>
      <c r="DA39" s="13" t="s">
        <v>31</v>
      </c>
      <c r="DB39" s="12" t="s">
        <v>32</v>
      </c>
      <c r="DC39" s="12" t="s">
        <v>35</v>
      </c>
      <c r="DD39" s="13" t="s">
        <v>37</v>
      </c>
      <c r="DE39" s="7"/>
      <c r="DF39" s="13" t="s">
        <v>31</v>
      </c>
      <c r="DG39" s="12" t="s">
        <v>32</v>
      </c>
      <c r="DH39" s="12" t="s">
        <v>35</v>
      </c>
      <c r="DI39" s="13" t="s">
        <v>37</v>
      </c>
      <c r="DJ39" s="7"/>
      <c r="DK39" s="13" t="s">
        <v>31</v>
      </c>
      <c r="DL39" s="12" t="s">
        <v>32</v>
      </c>
      <c r="DM39" s="12" t="s">
        <v>35</v>
      </c>
      <c r="DN39" s="13" t="s">
        <v>37</v>
      </c>
      <c r="DO39" s="7"/>
      <c r="DP39" s="13" t="s">
        <v>31</v>
      </c>
      <c r="DQ39" s="12" t="s">
        <v>32</v>
      </c>
      <c r="DR39" s="12" t="s">
        <v>35</v>
      </c>
      <c r="DS39" s="13" t="s">
        <v>37</v>
      </c>
      <c r="DT39" s="7"/>
      <c r="DU39" s="13" t="s">
        <v>31</v>
      </c>
      <c r="DV39" s="12" t="s">
        <v>32</v>
      </c>
      <c r="DW39" s="12" t="s">
        <v>35</v>
      </c>
      <c r="DX39" s="13" t="s">
        <v>37</v>
      </c>
    </row>
    <row r="40" spans="1:128" s="2" customFormat="1" x14ac:dyDescent="0.3">
      <c r="A40" s="15">
        <v>46272</v>
      </c>
      <c r="B40" s="16" t="str">
        <f>E38</f>
        <v>KASIR</v>
      </c>
      <c r="C40" s="16">
        <f>H67</f>
        <v>396350</v>
      </c>
      <c r="D40" s="17"/>
      <c r="E40" s="18" t="s">
        <v>38</v>
      </c>
      <c r="F40" s="17">
        <v>2</v>
      </c>
      <c r="G40" s="17">
        <v>50000</v>
      </c>
      <c r="H40" s="16">
        <f t="shared" ref="H40:H66" si="26">SUM(F40*G40)</f>
        <v>100000</v>
      </c>
      <c r="I40" s="19"/>
      <c r="J40" s="16" t="s">
        <v>39</v>
      </c>
      <c r="K40" s="19"/>
      <c r="L40" s="16">
        <v>450</v>
      </c>
      <c r="M40" s="16">
        <f t="shared" ref="M40:M65" si="27">SUM(K40*L40)</f>
        <v>0</v>
      </c>
      <c r="N40" s="17">
        <v>1</v>
      </c>
      <c r="O40" s="20" t="s">
        <v>40</v>
      </c>
      <c r="P40" s="21"/>
      <c r="Q40" s="19">
        <v>2000</v>
      </c>
      <c r="R40" s="16">
        <f t="shared" ref="R40:R66" si="28">SUM(P40*Q40)</f>
        <v>0</v>
      </c>
      <c r="S40" s="20"/>
      <c r="T40" s="20" t="s">
        <v>39</v>
      </c>
      <c r="U40" s="20"/>
      <c r="V40" s="16">
        <v>450</v>
      </c>
      <c r="W40" s="16">
        <f t="shared" ref="W40:W66" si="29">SUM(U40*V40)</f>
        <v>0</v>
      </c>
      <c r="X40" s="16"/>
      <c r="Y40" s="16" t="s">
        <v>294</v>
      </c>
      <c r="Z40" s="27"/>
      <c r="AA40" s="16">
        <v>70000</v>
      </c>
      <c r="AB40" s="16">
        <f t="shared" ref="AB40:AB66" si="30">SUM(Z40*AA40)</f>
        <v>0</v>
      </c>
      <c r="AC40" s="20"/>
      <c r="AD40" s="20" t="s">
        <v>42</v>
      </c>
      <c r="AE40" s="20"/>
      <c r="AF40" s="16">
        <v>100</v>
      </c>
      <c r="AG40" s="16">
        <f t="shared" ref="AG40:AG66" si="31">SUM(AE40*AF40)</f>
        <v>0</v>
      </c>
      <c r="AH40" s="16">
        <v>1</v>
      </c>
      <c r="AI40" s="16" t="s">
        <v>43</v>
      </c>
      <c r="AJ40" s="22"/>
      <c r="AK40" s="19">
        <v>1550</v>
      </c>
      <c r="AL40" s="16">
        <f t="shared" ref="AL40:AL66" si="32">SUM(AJ40*AK40)</f>
        <v>0</v>
      </c>
      <c r="AM40" s="16"/>
      <c r="AN40" s="20" t="s">
        <v>44</v>
      </c>
      <c r="AO40" s="20"/>
      <c r="AP40" s="20">
        <v>8000</v>
      </c>
      <c r="AQ40" s="16">
        <f t="shared" ref="AQ40:AQ66" si="33">SUM(AO40*AP40)</f>
        <v>0</v>
      </c>
      <c r="AR40" s="16"/>
      <c r="AS40" s="16" t="s">
        <v>45</v>
      </c>
      <c r="AT40" s="16"/>
      <c r="AU40" s="16">
        <v>46500</v>
      </c>
      <c r="AV40" s="16">
        <f t="shared" ref="AV40:AV66" si="34">SUM(AT40*AU40)</f>
        <v>0</v>
      </c>
      <c r="AW40" s="16"/>
      <c r="AX40" s="16" t="s">
        <v>68</v>
      </c>
      <c r="AY40" s="16"/>
      <c r="AZ40" s="16">
        <v>9000</v>
      </c>
      <c r="BA40" s="16">
        <f t="shared" ref="BA40:BA66" si="35">SUM(AY40*AZ40)</f>
        <v>0</v>
      </c>
      <c r="BB40" s="20"/>
      <c r="BC40" s="20" t="s">
        <v>43</v>
      </c>
      <c r="BD40" s="17"/>
      <c r="BE40" s="17">
        <v>1550</v>
      </c>
      <c r="BF40" s="16">
        <f t="shared" ref="BF40:BF66" si="36">SUM(BD40*BE40)</f>
        <v>0</v>
      </c>
      <c r="BG40" s="20"/>
      <c r="BH40" s="20" t="s">
        <v>39</v>
      </c>
      <c r="BI40" s="20"/>
      <c r="BJ40" s="20">
        <v>450</v>
      </c>
      <c r="BK40" s="16">
        <f t="shared" ref="BK40:BK66" si="37">SUM(BI40*BJ40)</f>
        <v>0</v>
      </c>
      <c r="BL40" s="16"/>
      <c r="BM40" s="16" t="s">
        <v>39</v>
      </c>
      <c r="BN40" s="16"/>
      <c r="BO40" s="16">
        <v>450</v>
      </c>
      <c r="BP40" s="16">
        <f t="shared" ref="BP40:BP66" si="38">SUM(BN40*BO40)</f>
        <v>0</v>
      </c>
      <c r="BQ40" s="16"/>
      <c r="BR40" s="16" t="s">
        <v>46</v>
      </c>
      <c r="BS40" s="16"/>
      <c r="BT40" s="16">
        <v>11200</v>
      </c>
      <c r="BU40" s="16">
        <f>SUM(BS40*BT40)</f>
        <v>0</v>
      </c>
      <c r="BV40" s="16"/>
      <c r="BW40" s="16" t="s">
        <v>48</v>
      </c>
      <c r="BX40" s="19">
        <v>1</v>
      </c>
      <c r="BY40" s="16">
        <v>99750</v>
      </c>
      <c r="BZ40" s="20">
        <f t="shared" ref="BZ40:BZ66" si="39">BY40*BX40</f>
        <v>99750</v>
      </c>
      <c r="CA40" s="16">
        <v>1</v>
      </c>
      <c r="CB40" s="16" t="s">
        <v>49</v>
      </c>
      <c r="CC40" s="16"/>
      <c r="CD40" s="16">
        <v>50000</v>
      </c>
      <c r="CE40" s="16">
        <f t="shared" ref="CE40:CE66" si="40">SUM(CC40*CD40)</f>
        <v>0</v>
      </c>
      <c r="CF40" s="16">
        <v>1</v>
      </c>
      <c r="CG40" s="16" t="s">
        <v>49</v>
      </c>
      <c r="CH40" s="16">
        <v>1</v>
      </c>
      <c r="CI40" s="23">
        <v>50000</v>
      </c>
      <c r="CJ40" s="23">
        <f t="shared" ref="CJ40:CJ66" si="41">SUM(CH40*CI40)</f>
        <v>50000</v>
      </c>
      <c r="CK40" s="20"/>
      <c r="CL40" s="20" t="s">
        <v>295</v>
      </c>
      <c r="CM40" s="20"/>
      <c r="CN40" s="20">
        <v>20000</v>
      </c>
      <c r="CO40" s="23">
        <f t="shared" ref="CO40:CO66" si="42">SUM(CM40*CN40)</f>
        <v>0</v>
      </c>
      <c r="CP40" s="16"/>
      <c r="CQ40" s="16" t="s">
        <v>49</v>
      </c>
      <c r="CR40" s="16"/>
      <c r="CS40" s="16">
        <v>50000</v>
      </c>
      <c r="CT40" s="23">
        <f t="shared" ref="CT40:CT66" si="43">SUM(CR40*CS40)</f>
        <v>0</v>
      </c>
      <c r="CU40" s="20"/>
      <c r="CV40" s="20" t="s">
        <v>296</v>
      </c>
      <c r="CW40" s="20"/>
      <c r="CX40" s="20">
        <v>100</v>
      </c>
      <c r="CY40" s="23">
        <f t="shared" ref="CY40:CY46" si="44">SUM(CW40*CX40)</f>
        <v>0</v>
      </c>
      <c r="CZ40" s="20"/>
      <c r="DA40" s="20" t="s">
        <v>57</v>
      </c>
      <c r="DB40" s="20"/>
      <c r="DC40" s="20">
        <v>4000</v>
      </c>
      <c r="DD40" s="23">
        <f t="shared" ref="DD40:DD66" si="45">SUM(DB40*DC40)</f>
        <v>0</v>
      </c>
      <c r="DE40" s="16">
        <v>1</v>
      </c>
      <c r="DF40" s="16" t="s">
        <v>52</v>
      </c>
      <c r="DG40" s="16">
        <v>7</v>
      </c>
      <c r="DH40" s="16">
        <v>7500</v>
      </c>
      <c r="DI40" s="16">
        <f t="shared" ref="DI40:DI66" si="46">SUM(DG40*DH40)</f>
        <v>52500</v>
      </c>
      <c r="DJ40" s="20"/>
      <c r="DK40" s="20" t="s">
        <v>53</v>
      </c>
      <c r="DL40" s="20"/>
      <c r="DM40" s="20">
        <v>1000</v>
      </c>
      <c r="DN40" s="16">
        <f t="shared" ref="DN40:DN66" si="47">SUM(DL40*DM40)</f>
        <v>0</v>
      </c>
      <c r="DO40" s="20"/>
      <c r="DP40" s="20" t="s">
        <v>54</v>
      </c>
      <c r="DQ40" s="20"/>
      <c r="DR40" s="20">
        <v>450</v>
      </c>
      <c r="DS40" s="16">
        <f t="shared" ref="DS40:DS66" si="48">SUM(DQ40*DR40)</f>
        <v>0</v>
      </c>
      <c r="DT40" s="20"/>
      <c r="DU40" s="20" t="s">
        <v>68</v>
      </c>
      <c r="DV40" s="20"/>
      <c r="DW40" s="20">
        <v>9000</v>
      </c>
      <c r="DX40" s="24">
        <f t="shared" ref="DX40:DX64" si="49">DW40*DV40</f>
        <v>0</v>
      </c>
    </row>
    <row r="41" spans="1:128" s="2" customFormat="1" x14ac:dyDescent="0.3">
      <c r="A41" s="20"/>
      <c r="B41" s="16" t="str">
        <f>J38</f>
        <v>IGD</v>
      </c>
      <c r="C41" s="16">
        <f>M67</f>
        <v>0</v>
      </c>
      <c r="D41" s="17"/>
      <c r="E41" s="20" t="s">
        <v>56</v>
      </c>
      <c r="F41" s="17">
        <v>2</v>
      </c>
      <c r="G41" s="17">
        <v>46500</v>
      </c>
      <c r="H41" s="16">
        <f t="shared" si="26"/>
        <v>93000</v>
      </c>
      <c r="I41" s="19"/>
      <c r="J41" s="16" t="s">
        <v>297</v>
      </c>
      <c r="K41" s="19"/>
      <c r="L41" s="19">
        <v>350</v>
      </c>
      <c r="M41" s="16">
        <f t="shared" si="27"/>
        <v>0</v>
      </c>
      <c r="N41" s="17">
        <v>2</v>
      </c>
      <c r="O41" s="20" t="s">
        <v>298</v>
      </c>
      <c r="P41" s="20"/>
      <c r="Q41" s="20">
        <v>50000</v>
      </c>
      <c r="R41" s="16">
        <f t="shared" si="28"/>
        <v>0</v>
      </c>
      <c r="S41" s="20"/>
      <c r="T41" s="20" t="s">
        <v>59</v>
      </c>
      <c r="U41" s="20"/>
      <c r="V41" s="20">
        <v>350</v>
      </c>
      <c r="W41" s="16">
        <f t="shared" si="29"/>
        <v>0</v>
      </c>
      <c r="X41" s="16"/>
      <c r="Y41" s="16" t="s">
        <v>68</v>
      </c>
      <c r="Z41" s="16"/>
      <c r="AA41" s="16">
        <v>9000</v>
      </c>
      <c r="AB41" s="16">
        <f t="shared" si="30"/>
        <v>0</v>
      </c>
      <c r="AC41" s="20"/>
      <c r="AD41" s="20" t="s">
        <v>299</v>
      </c>
      <c r="AE41" s="20"/>
      <c r="AF41" s="16">
        <v>11000</v>
      </c>
      <c r="AG41" s="16">
        <f t="shared" si="31"/>
        <v>0</v>
      </c>
      <c r="AH41" s="16">
        <v>2</v>
      </c>
      <c r="AI41" s="16" t="s">
        <v>106</v>
      </c>
      <c r="AJ41" s="22"/>
      <c r="AK41" s="19">
        <v>13250</v>
      </c>
      <c r="AL41" s="16">
        <f t="shared" si="32"/>
        <v>0</v>
      </c>
      <c r="AM41" s="16"/>
      <c r="AN41" s="20" t="s">
        <v>63</v>
      </c>
      <c r="AO41" s="20"/>
      <c r="AP41" s="20">
        <v>5500</v>
      </c>
      <c r="AQ41" s="16">
        <f t="shared" si="33"/>
        <v>0</v>
      </c>
      <c r="AR41" s="16"/>
      <c r="AS41" s="16" t="s">
        <v>42</v>
      </c>
      <c r="AT41" s="16"/>
      <c r="AU41" s="16">
        <v>50000</v>
      </c>
      <c r="AV41" s="16">
        <f t="shared" si="34"/>
        <v>0</v>
      </c>
      <c r="AW41" s="16"/>
      <c r="AX41" s="16" t="s">
        <v>300</v>
      </c>
      <c r="AY41" s="16"/>
      <c r="AZ41" s="16">
        <v>4000</v>
      </c>
      <c r="BA41" s="16">
        <f t="shared" si="35"/>
        <v>0</v>
      </c>
      <c r="BB41" s="20"/>
      <c r="BC41" s="20" t="s">
        <v>65</v>
      </c>
      <c r="BD41" s="17"/>
      <c r="BE41" s="17">
        <v>950</v>
      </c>
      <c r="BF41" s="16">
        <f t="shared" si="36"/>
        <v>0</v>
      </c>
      <c r="BG41" s="20"/>
      <c r="BH41" s="20" t="s">
        <v>59</v>
      </c>
      <c r="BI41" s="20"/>
      <c r="BJ41" s="20">
        <v>350</v>
      </c>
      <c r="BK41" s="16">
        <f t="shared" si="37"/>
        <v>0</v>
      </c>
      <c r="BL41" s="16"/>
      <c r="BM41" s="16" t="s">
        <v>59</v>
      </c>
      <c r="BN41" s="16"/>
      <c r="BO41" s="16">
        <v>350</v>
      </c>
      <c r="BP41" s="16">
        <f t="shared" si="38"/>
        <v>0</v>
      </c>
      <c r="BQ41" s="16"/>
      <c r="BR41" s="16" t="s">
        <v>41</v>
      </c>
      <c r="BS41" s="20"/>
      <c r="BT41" s="16">
        <v>28000</v>
      </c>
      <c r="BU41" s="16">
        <f>SUM(Z48*BT41)</f>
        <v>0</v>
      </c>
      <c r="BV41" s="16"/>
      <c r="BW41" s="25" t="s">
        <v>66</v>
      </c>
      <c r="BX41" s="25">
        <v>1</v>
      </c>
      <c r="BY41" s="25">
        <v>102600</v>
      </c>
      <c r="BZ41" s="20">
        <f t="shared" si="39"/>
        <v>102600</v>
      </c>
      <c r="CA41" s="16">
        <v>2</v>
      </c>
      <c r="CB41" s="16" t="s">
        <v>87</v>
      </c>
      <c r="CC41" s="16"/>
      <c r="CD41" s="16">
        <v>1550</v>
      </c>
      <c r="CE41" s="16">
        <f t="shared" si="40"/>
        <v>0</v>
      </c>
      <c r="CF41" s="16">
        <v>2</v>
      </c>
      <c r="CG41" s="16" t="s">
        <v>45</v>
      </c>
      <c r="CH41" s="16">
        <v>1</v>
      </c>
      <c r="CI41" s="23">
        <v>46500</v>
      </c>
      <c r="CJ41" s="23">
        <f t="shared" si="41"/>
        <v>46500</v>
      </c>
      <c r="CK41" s="20"/>
      <c r="CL41" s="20" t="s">
        <v>65</v>
      </c>
      <c r="CM41" s="20">
        <v>3</v>
      </c>
      <c r="CN41" s="20">
        <v>950</v>
      </c>
      <c r="CO41" s="23">
        <f t="shared" si="42"/>
        <v>2850</v>
      </c>
      <c r="CP41" s="16"/>
      <c r="CQ41" s="16" t="s">
        <v>88</v>
      </c>
      <c r="CR41" s="16"/>
      <c r="CS41" s="16">
        <v>3500</v>
      </c>
      <c r="CT41" s="23">
        <f t="shared" si="43"/>
        <v>0</v>
      </c>
      <c r="CU41" s="20"/>
      <c r="CV41" s="20" t="s">
        <v>65</v>
      </c>
      <c r="CW41" s="20"/>
      <c r="CX41" s="20">
        <v>1000</v>
      </c>
      <c r="CY41" s="23">
        <f t="shared" si="44"/>
        <v>0</v>
      </c>
      <c r="CZ41" s="20"/>
      <c r="DA41" s="20" t="s">
        <v>68</v>
      </c>
      <c r="DB41" s="20"/>
      <c r="DC41" s="20">
        <v>9000</v>
      </c>
      <c r="DD41" s="23">
        <f t="shared" si="45"/>
        <v>0</v>
      </c>
      <c r="DE41" s="16">
        <v>2</v>
      </c>
      <c r="DF41" s="16" t="s">
        <v>68</v>
      </c>
      <c r="DG41" s="16"/>
      <c r="DH41" s="16">
        <v>9000</v>
      </c>
      <c r="DI41" s="16">
        <f t="shared" si="46"/>
        <v>0</v>
      </c>
      <c r="DJ41" s="20"/>
      <c r="DK41" s="20" t="s">
        <v>69</v>
      </c>
      <c r="DL41" s="20"/>
      <c r="DM41" s="20">
        <v>1000</v>
      </c>
      <c r="DN41" s="16">
        <f t="shared" si="47"/>
        <v>0</v>
      </c>
      <c r="DO41" s="20"/>
      <c r="DP41" s="20" t="s">
        <v>70</v>
      </c>
      <c r="DQ41" s="20"/>
      <c r="DR41" s="20">
        <v>350</v>
      </c>
      <c r="DS41" s="16">
        <f t="shared" si="48"/>
        <v>0</v>
      </c>
      <c r="DT41" s="20"/>
      <c r="DU41" s="20" t="s">
        <v>57</v>
      </c>
      <c r="DV41" s="20"/>
      <c r="DW41" s="20">
        <v>4000</v>
      </c>
      <c r="DX41" s="24">
        <f t="shared" si="49"/>
        <v>0</v>
      </c>
    </row>
    <row r="42" spans="1:128" s="2" customFormat="1" x14ac:dyDescent="0.3">
      <c r="A42" s="20"/>
      <c r="B42" s="16" t="str">
        <f>O38</f>
        <v xml:space="preserve">PENDAFTARAN </v>
      </c>
      <c r="C42" s="16">
        <f>R67</f>
        <v>0</v>
      </c>
      <c r="D42" s="17"/>
      <c r="E42" s="20" t="s">
        <v>72</v>
      </c>
      <c r="F42" s="17"/>
      <c r="G42" s="17">
        <v>20000</v>
      </c>
      <c r="H42" s="16">
        <f t="shared" si="26"/>
        <v>0</v>
      </c>
      <c r="I42" s="19"/>
      <c r="J42" s="16" t="s">
        <v>43</v>
      </c>
      <c r="K42" s="19"/>
      <c r="L42" s="19">
        <v>1550</v>
      </c>
      <c r="M42" s="16">
        <f t="shared" si="27"/>
        <v>0</v>
      </c>
      <c r="N42" s="17"/>
      <c r="O42" s="20" t="s">
        <v>301</v>
      </c>
      <c r="P42" s="20"/>
      <c r="Q42" s="20">
        <v>35000</v>
      </c>
      <c r="R42" s="16">
        <f t="shared" si="28"/>
        <v>0</v>
      </c>
      <c r="S42" s="20"/>
      <c r="T42" s="20" t="s">
        <v>74</v>
      </c>
      <c r="U42" s="20"/>
      <c r="V42" s="20">
        <v>3300</v>
      </c>
      <c r="W42" s="16">
        <f t="shared" si="29"/>
        <v>0</v>
      </c>
      <c r="X42" s="16"/>
      <c r="Y42" s="16" t="s">
        <v>41</v>
      </c>
      <c r="Z42" s="16"/>
      <c r="AA42" s="16">
        <v>28000</v>
      </c>
      <c r="AB42" s="16">
        <f t="shared" si="30"/>
        <v>0</v>
      </c>
      <c r="AC42" s="20"/>
      <c r="AD42" s="20" t="s">
        <v>102</v>
      </c>
      <c r="AE42" s="20"/>
      <c r="AF42" s="16">
        <v>2000</v>
      </c>
      <c r="AG42" s="16">
        <f t="shared" si="31"/>
        <v>0</v>
      </c>
      <c r="AH42" s="16"/>
      <c r="AI42" s="20" t="s">
        <v>76</v>
      </c>
      <c r="AJ42" s="17"/>
      <c r="AK42" s="20">
        <v>26500</v>
      </c>
      <c r="AL42" s="16">
        <f t="shared" si="32"/>
        <v>0</v>
      </c>
      <c r="AM42" s="16"/>
      <c r="AN42" s="20" t="s">
        <v>65</v>
      </c>
      <c r="AO42" s="20"/>
      <c r="AP42" s="20">
        <v>950</v>
      </c>
      <c r="AQ42" s="16">
        <f t="shared" si="33"/>
        <v>0</v>
      </c>
      <c r="AR42" s="16"/>
      <c r="AS42" s="20" t="s">
        <v>39</v>
      </c>
      <c r="AT42" s="20"/>
      <c r="AU42" s="20">
        <v>450</v>
      </c>
      <c r="AV42" s="16">
        <f t="shared" si="34"/>
        <v>0</v>
      </c>
      <c r="AW42" s="16"/>
      <c r="AX42" s="16" t="s">
        <v>41</v>
      </c>
      <c r="AY42" s="16">
        <v>2</v>
      </c>
      <c r="AZ42" s="16">
        <v>28000</v>
      </c>
      <c r="BA42" s="16">
        <f t="shared" si="35"/>
        <v>56000</v>
      </c>
      <c r="BB42" s="20"/>
      <c r="BC42" s="20" t="s">
        <v>90</v>
      </c>
      <c r="BD42" s="17">
        <v>1</v>
      </c>
      <c r="BE42" s="17">
        <v>7000</v>
      </c>
      <c r="BF42" s="16">
        <f t="shared" si="36"/>
        <v>7000</v>
      </c>
      <c r="BG42" s="20"/>
      <c r="BH42" s="20" t="s">
        <v>79</v>
      </c>
      <c r="BI42" s="20"/>
      <c r="BJ42" s="20">
        <v>3300</v>
      </c>
      <c r="BK42" s="16">
        <f t="shared" si="37"/>
        <v>0</v>
      </c>
      <c r="BL42" s="16"/>
      <c r="BM42" s="16" t="s">
        <v>79</v>
      </c>
      <c r="BN42" s="16"/>
      <c r="BO42" s="16">
        <v>3300</v>
      </c>
      <c r="BP42" s="16">
        <f t="shared" si="38"/>
        <v>0</v>
      </c>
      <c r="BQ42" s="16"/>
      <c r="BR42" s="16" t="s">
        <v>60</v>
      </c>
      <c r="BS42" s="20"/>
      <c r="BT42" s="16">
        <v>39000</v>
      </c>
      <c r="BU42" s="16">
        <f>SUM(Z49*BT42)</f>
        <v>0</v>
      </c>
      <c r="BV42" s="16"/>
      <c r="BW42" s="20" t="s">
        <v>68</v>
      </c>
      <c r="BX42" s="20"/>
      <c r="BY42" s="20">
        <v>9000</v>
      </c>
      <c r="BZ42" s="20">
        <f t="shared" si="39"/>
        <v>0</v>
      </c>
      <c r="CA42" s="16">
        <v>3</v>
      </c>
      <c r="CB42" s="16" t="s">
        <v>179</v>
      </c>
      <c r="CC42" s="16"/>
      <c r="CD42" s="16">
        <v>35000</v>
      </c>
      <c r="CE42" s="16">
        <f t="shared" si="40"/>
        <v>0</v>
      </c>
      <c r="CF42" s="16">
        <v>3</v>
      </c>
      <c r="CG42" s="16" t="s">
        <v>81</v>
      </c>
      <c r="CH42" s="16"/>
      <c r="CI42" s="23">
        <v>7500</v>
      </c>
      <c r="CJ42" s="23">
        <f t="shared" si="41"/>
        <v>0</v>
      </c>
      <c r="CK42" s="20"/>
      <c r="CL42" s="20" t="s">
        <v>68</v>
      </c>
      <c r="CM42" s="20"/>
      <c r="CN42" s="20">
        <v>9000</v>
      </c>
      <c r="CO42" s="23">
        <f t="shared" si="42"/>
        <v>0</v>
      </c>
      <c r="CP42" s="16"/>
      <c r="CQ42" s="16" t="s">
        <v>178</v>
      </c>
      <c r="CR42" s="16"/>
      <c r="CS42" s="16">
        <v>100</v>
      </c>
      <c r="CT42" s="23">
        <f t="shared" si="43"/>
        <v>0</v>
      </c>
      <c r="CU42" s="20"/>
      <c r="CV42" s="20" t="s">
        <v>302</v>
      </c>
      <c r="CW42" s="20"/>
      <c r="CX42" s="20">
        <v>750</v>
      </c>
      <c r="CY42" s="23">
        <f t="shared" si="44"/>
        <v>0</v>
      </c>
      <c r="CZ42" s="20"/>
      <c r="DA42" s="20" t="s">
        <v>65</v>
      </c>
      <c r="DB42" s="20"/>
      <c r="DC42" s="20">
        <v>950</v>
      </c>
      <c r="DD42" s="23">
        <f t="shared" si="45"/>
        <v>0</v>
      </c>
      <c r="DE42" s="16"/>
      <c r="DF42" s="16" t="s">
        <v>57</v>
      </c>
      <c r="DG42" s="16"/>
      <c r="DH42" s="16">
        <v>4000</v>
      </c>
      <c r="DI42" s="16">
        <f t="shared" si="46"/>
        <v>0</v>
      </c>
      <c r="DJ42" s="20"/>
      <c r="DK42" s="20" t="s">
        <v>51</v>
      </c>
      <c r="DL42" s="20"/>
      <c r="DM42" s="20">
        <v>100</v>
      </c>
      <c r="DN42" s="16">
        <f t="shared" si="47"/>
        <v>0</v>
      </c>
      <c r="DO42" s="20"/>
      <c r="DP42" s="20" t="s">
        <v>86</v>
      </c>
      <c r="DQ42" s="20"/>
      <c r="DR42" s="20">
        <v>2500</v>
      </c>
      <c r="DS42" s="16">
        <f t="shared" si="48"/>
        <v>0</v>
      </c>
      <c r="DT42" s="20"/>
      <c r="DU42" s="20" t="s">
        <v>131</v>
      </c>
      <c r="DV42" s="20"/>
      <c r="DW42" s="20">
        <v>250</v>
      </c>
      <c r="DX42" s="24">
        <f t="shared" si="49"/>
        <v>0</v>
      </c>
    </row>
    <row r="43" spans="1:128" s="2" customFormat="1" x14ac:dyDescent="0.3">
      <c r="A43" s="20"/>
      <c r="B43" s="16" t="str">
        <f>T38</f>
        <v>MADINAH 2</v>
      </c>
      <c r="C43" s="16">
        <f>W67</f>
        <v>0</v>
      </c>
      <c r="D43" s="17"/>
      <c r="E43" s="20" t="s">
        <v>43</v>
      </c>
      <c r="F43" s="17"/>
      <c r="G43" s="17">
        <v>1550</v>
      </c>
      <c r="H43" s="16">
        <f t="shared" si="26"/>
        <v>0</v>
      </c>
      <c r="I43" s="19"/>
      <c r="J43" s="16" t="s">
        <v>65</v>
      </c>
      <c r="K43" s="19"/>
      <c r="L43" s="19">
        <v>950</v>
      </c>
      <c r="M43" s="16">
        <f t="shared" si="27"/>
        <v>0</v>
      </c>
      <c r="N43" s="17"/>
      <c r="O43" s="20" t="s">
        <v>43</v>
      </c>
      <c r="P43" s="21"/>
      <c r="Q43" s="19">
        <v>1550</v>
      </c>
      <c r="R43" s="16">
        <f t="shared" si="28"/>
        <v>0</v>
      </c>
      <c r="S43" s="20"/>
      <c r="T43" s="20" t="s">
        <v>86</v>
      </c>
      <c r="U43" s="20"/>
      <c r="V43" s="20">
        <v>2500</v>
      </c>
      <c r="W43" s="16">
        <f t="shared" si="29"/>
        <v>0</v>
      </c>
      <c r="X43" s="16"/>
      <c r="Y43" s="16" t="s">
        <v>69</v>
      </c>
      <c r="Z43" s="16"/>
      <c r="AA43" s="16">
        <v>82000</v>
      </c>
      <c r="AB43" s="16">
        <f t="shared" si="30"/>
        <v>0</v>
      </c>
      <c r="AC43" s="20"/>
      <c r="AD43" s="20" t="s">
        <v>87</v>
      </c>
      <c r="AE43" s="20"/>
      <c r="AF43" s="16">
        <v>1550</v>
      </c>
      <c r="AG43" s="16">
        <f t="shared" si="31"/>
        <v>0</v>
      </c>
      <c r="AH43" s="16"/>
      <c r="AI43" s="16" t="s">
        <v>65</v>
      </c>
      <c r="AJ43" s="22"/>
      <c r="AK43" s="19">
        <v>950</v>
      </c>
      <c r="AL43" s="16">
        <f t="shared" si="32"/>
        <v>0</v>
      </c>
      <c r="AM43" s="16"/>
      <c r="AN43" s="20" t="s">
        <v>77</v>
      </c>
      <c r="AO43" s="20"/>
      <c r="AP43" s="20">
        <v>17000</v>
      </c>
      <c r="AQ43" s="16">
        <f t="shared" si="33"/>
        <v>0</v>
      </c>
      <c r="AR43" s="16"/>
      <c r="AS43" s="20" t="s">
        <v>43</v>
      </c>
      <c r="AT43" s="20"/>
      <c r="AU43" s="20">
        <v>1550</v>
      </c>
      <c r="AV43" s="16">
        <f t="shared" si="34"/>
        <v>0</v>
      </c>
      <c r="AW43" s="16"/>
      <c r="AX43" s="16" t="s">
        <v>60</v>
      </c>
      <c r="AY43" s="16">
        <v>2</v>
      </c>
      <c r="AZ43" s="16">
        <v>39000</v>
      </c>
      <c r="BA43" s="16">
        <f t="shared" si="35"/>
        <v>78000</v>
      </c>
      <c r="BB43" s="20"/>
      <c r="BC43" s="20" t="s">
        <v>54</v>
      </c>
      <c r="BD43" s="17">
        <v>10</v>
      </c>
      <c r="BE43" s="17">
        <v>350</v>
      </c>
      <c r="BF43" s="16">
        <f t="shared" si="36"/>
        <v>3500</v>
      </c>
      <c r="BG43" s="20"/>
      <c r="BH43" s="20" t="s">
        <v>89</v>
      </c>
      <c r="BI43" s="20"/>
      <c r="BJ43" s="20">
        <v>2500</v>
      </c>
      <c r="BK43" s="16">
        <f t="shared" si="37"/>
        <v>0</v>
      </c>
      <c r="BL43" s="16"/>
      <c r="BM43" s="16" t="s">
        <v>89</v>
      </c>
      <c r="BN43" s="16"/>
      <c r="BO43" s="16">
        <v>2500</v>
      </c>
      <c r="BP43" s="16">
        <f t="shared" si="38"/>
        <v>0</v>
      </c>
      <c r="BQ43" s="16"/>
      <c r="BR43" s="16" t="s">
        <v>69</v>
      </c>
      <c r="BS43" s="20"/>
      <c r="BT43" s="16">
        <v>92000</v>
      </c>
      <c r="BU43" s="16">
        <f>SUM(Z50*BT43)</f>
        <v>0</v>
      </c>
      <c r="BV43" s="16"/>
      <c r="BW43" s="20" t="s">
        <v>90</v>
      </c>
      <c r="BX43" s="20"/>
      <c r="BY43" s="20">
        <v>7000</v>
      </c>
      <c r="BZ43" s="20">
        <f t="shared" si="39"/>
        <v>0</v>
      </c>
      <c r="CA43" s="16">
        <v>4</v>
      </c>
      <c r="CB43" s="16" t="s">
        <v>303</v>
      </c>
      <c r="CC43" s="16"/>
      <c r="CD43" s="16">
        <v>10000</v>
      </c>
      <c r="CE43" s="16">
        <f t="shared" si="40"/>
        <v>0</v>
      </c>
      <c r="CF43" s="16">
        <v>4</v>
      </c>
      <c r="CG43" s="16" t="s">
        <v>43</v>
      </c>
      <c r="CH43" s="16">
        <v>1</v>
      </c>
      <c r="CI43" s="23">
        <v>1550</v>
      </c>
      <c r="CJ43" s="23">
        <f t="shared" si="41"/>
        <v>1550</v>
      </c>
      <c r="CK43" s="20"/>
      <c r="CL43" s="20" t="s">
        <v>304</v>
      </c>
      <c r="CM43" s="20"/>
      <c r="CN43" s="20">
        <v>24000</v>
      </c>
      <c r="CO43" s="23">
        <f t="shared" si="42"/>
        <v>0</v>
      </c>
      <c r="CP43" s="16"/>
      <c r="CQ43" s="16" t="s">
        <v>87</v>
      </c>
      <c r="CR43" s="16"/>
      <c r="CS43" s="16">
        <v>1550</v>
      </c>
      <c r="CT43" s="23">
        <f t="shared" si="43"/>
        <v>0</v>
      </c>
      <c r="CU43" s="20"/>
      <c r="CV43" s="20" t="s">
        <v>90</v>
      </c>
      <c r="CW43" s="20"/>
      <c r="CX43" s="20">
        <v>7000</v>
      </c>
      <c r="CY43" s="23">
        <f t="shared" si="44"/>
        <v>0</v>
      </c>
      <c r="CZ43" s="20"/>
      <c r="DA43" s="20" t="s">
        <v>55</v>
      </c>
      <c r="DB43" s="20"/>
      <c r="DC43" s="20">
        <v>1000</v>
      </c>
      <c r="DD43" s="23">
        <f t="shared" si="45"/>
        <v>0</v>
      </c>
      <c r="DE43" s="16"/>
      <c r="DF43" s="16" t="s">
        <v>92</v>
      </c>
      <c r="DG43" s="16"/>
      <c r="DH43" s="16">
        <v>4000</v>
      </c>
      <c r="DI43" s="16">
        <f t="shared" si="46"/>
        <v>0</v>
      </c>
      <c r="DJ43" s="20"/>
      <c r="DK43" s="20" t="s">
        <v>162</v>
      </c>
      <c r="DL43" s="20"/>
      <c r="DM43" s="20">
        <v>250</v>
      </c>
      <c r="DN43" s="16">
        <f t="shared" si="47"/>
        <v>0</v>
      </c>
      <c r="DO43" s="20"/>
      <c r="DP43" s="20" t="s">
        <v>74</v>
      </c>
      <c r="DQ43" s="20"/>
      <c r="DR43" s="20">
        <v>3300</v>
      </c>
      <c r="DS43" s="16">
        <f t="shared" si="48"/>
        <v>0</v>
      </c>
      <c r="DT43" s="20"/>
      <c r="DU43" s="20" t="s">
        <v>224</v>
      </c>
      <c r="DV43" s="20"/>
      <c r="DW43" s="20">
        <v>250</v>
      </c>
      <c r="DX43" s="24">
        <f t="shared" si="49"/>
        <v>0</v>
      </c>
    </row>
    <row r="44" spans="1:128" s="2" customFormat="1" x14ac:dyDescent="0.3">
      <c r="A44" s="20"/>
      <c r="B44" s="16" t="str">
        <f>Y38</f>
        <v>PPI</v>
      </c>
      <c r="C44" s="16">
        <f>AB67</f>
        <v>0</v>
      </c>
      <c r="D44" s="17"/>
      <c r="E44" s="20" t="s">
        <v>65</v>
      </c>
      <c r="F44" s="17">
        <v>3</v>
      </c>
      <c r="G44" s="17">
        <v>950</v>
      </c>
      <c r="H44" s="16">
        <f t="shared" si="26"/>
        <v>2850</v>
      </c>
      <c r="I44" s="19"/>
      <c r="J44" s="16" t="s">
        <v>69</v>
      </c>
      <c r="K44" s="19"/>
      <c r="L44" s="19">
        <v>1000</v>
      </c>
      <c r="M44" s="16">
        <f t="shared" si="27"/>
        <v>0</v>
      </c>
      <c r="N44" s="17"/>
      <c r="O44" s="20" t="s">
        <v>50</v>
      </c>
      <c r="P44" s="21"/>
      <c r="Q44" s="19">
        <v>26500</v>
      </c>
      <c r="R44" s="16">
        <f t="shared" si="28"/>
        <v>0</v>
      </c>
      <c r="S44" s="20"/>
      <c r="T44" s="20" t="s">
        <v>305</v>
      </c>
      <c r="U44" s="20"/>
      <c r="V44" s="20">
        <v>35000</v>
      </c>
      <c r="W44" s="16">
        <f t="shared" si="29"/>
        <v>0</v>
      </c>
      <c r="X44" s="16"/>
      <c r="Y44" s="16" t="s">
        <v>60</v>
      </c>
      <c r="Z44" s="16"/>
      <c r="AA44" s="16">
        <v>39000</v>
      </c>
      <c r="AB44" s="16">
        <f t="shared" si="30"/>
        <v>0</v>
      </c>
      <c r="AC44" s="20"/>
      <c r="AD44" s="20" t="s">
        <v>65</v>
      </c>
      <c r="AE44" s="20"/>
      <c r="AF44" s="16">
        <v>950</v>
      </c>
      <c r="AG44" s="16">
        <f t="shared" si="31"/>
        <v>0</v>
      </c>
      <c r="AH44" s="16"/>
      <c r="AI44" s="16" t="s">
        <v>109</v>
      </c>
      <c r="AJ44" s="22"/>
      <c r="AK44" s="19">
        <v>10000</v>
      </c>
      <c r="AL44" s="16">
        <f t="shared" si="32"/>
        <v>0</v>
      </c>
      <c r="AM44" s="16"/>
      <c r="AN44" s="16" t="s">
        <v>45</v>
      </c>
      <c r="AO44" s="16"/>
      <c r="AP44" s="16">
        <v>46500</v>
      </c>
      <c r="AQ44" s="16">
        <f t="shared" si="33"/>
        <v>0</v>
      </c>
      <c r="AR44" s="16"/>
      <c r="AS44" s="16" t="s">
        <v>65</v>
      </c>
      <c r="AT44" s="16"/>
      <c r="AU44" s="16">
        <v>950</v>
      </c>
      <c r="AV44" s="16">
        <f t="shared" si="34"/>
        <v>0</v>
      </c>
      <c r="AW44" s="16"/>
      <c r="AX44" s="16" t="s">
        <v>306</v>
      </c>
      <c r="AY44" s="16"/>
      <c r="AZ44" s="16">
        <v>5000</v>
      </c>
      <c r="BA44" s="16">
        <f t="shared" si="35"/>
        <v>0</v>
      </c>
      <c r="BB44" s="20"/>
      <c r="BC44" s="20" t="s">
        <v>70</v>
      </c>
      <c r="BD44" s="17">
        <v>15</v>
      </c>
      <c r="BE44" s="17">
        <v>450</v>
      </c>
      <c r="BF44" s="16">
        <f t="shared" si="36"/>
        <v>6750</v>
      </c>
      <c r="BG44" s="20"/>
      <c r="BH44" s="20" t="s">
        <v>87</v>
      </c>
      <c r="BI44" s="20"/>
      <c r="BJ44" s="20">
        <v>1550</v>
      </c>
      <c r="BK44" s="16">
        <f t="shared" si="37"/>
        <v>0</v>
      </c>
      <c r="BL44" s="16"/>
      <c r="BM44" s="16" t="s">
        <v>43</v>
      </c>
      <c r="BN44" s="16"/>
      <c r="BO44" s="16">
        <v>1550</v>
      </c>
      <c r="BP44" s="16">
        <f t="shared" si="38"/>
        <v>0</v>
      </c>
      <c r="BQ44" s="16"/>
      <c r="BR44" s="16" t="s">
        <v>53</v>
      </c>
      <c r="BS44" s="20"/>
      <c r="BT44" s="16">
        <v>100000</v>
      </c>
      <c r="BU44" s="16">
        <f>SUM(Z51*BT44)</f>
        <v>0</v>
      </c>
      <c r="BV44" s="16"/>
      <c r="BW44" s="20" t="s">
        <v>99</v>
      </c>
      <c r="BX44" s="20"/>
      <c r="BY44" s="20">
        <v>145000</v>
      </c>
      <c r="BZ44" s="20">
        <f t="shared" si="39"/>
        <v>0</v>
      </c>
      <c r="CA44" s="16">
        <v>5</v>
      </c>
      <c r="CB44" s="16" t="s">
        <v>107</v>
      </c>
      <c r="CC44" s="16"/>
      <c r="CD44" s="16">
        <v>10000</v>
      </c>
      <c r="CE44" s="16">
        <f t="shared" si="40"/>
        <v>0</v>
      </c>
      <c r="CF44" s="16">
        <v>5</v>
      </c>
      <c r="CG44" s="16" t="s">
        <v>50</v>
      </c>
      <c r="CH44" s="16">
        <v>5</v>
      </c>
      <c r="CI44" s="23">
        <v>26500</v>
      </c>
      <c r="CJ44" s="23">
        <f t="shared" si="41"/>
        <v>132500</v>
      </c>
      <c r="CK44" s="20"/>
      <c r="CL44" s="20" t="s">
        <v>307</v>
      </c>
      <c r="CM44" s="20"/>
      <c r="CN44" s="20">
        <v>500</v>
      </c>
      <c r="CO44" s="23">
        <f t="shared" si="42"/>
        <v>0</v>
      </c>
      <c r="CP44" s="16"/>
      <c r="CQ44" s="16" t="s">
        <v>65</v>
      </c>
      <c r="CR44" s="16"/>
      <c r="CS44" s="16">
        <v>950</v>
      </c>
      <c r="CT44" s="23">
        <f t="shared" si="43"/>
        <v>0</v>
      </c>
      <c r="CU44" s="20"/>
      <c r="CV44" s="20" t="s">
        <v>69</v>
      </c>
      <c r="CW44" s="20"/>
      <c r="CX44" s="20">
        <v>1000</v>
      </c>
      <c r="CY44" s="23">
        <f t="shared" si="44"/>
        <v>0</v>
      </c>
      <c r="CZ44" s="20"/>
      <c r="DA44" s="20" t="s">
        <v>54</v>
      </c>
      <c r="DB44" s="20"/>
      <c r="DC44" s="20">
        <v>450</v>
      </c>
      <c r="DD44" s="23">
        <f t="shared" si="45"/>
        <v>0</v>
      </c>
      <c r="DE44" s="16"/>
      <c r="DF44" s="16" t="s">
        <v>135</v>
      </c>
      <c r="DG44" s="16"/>
      <c r="DH44" s="16">
        <v>6500</v>
      </c>
      <c r="DI44" s="16">
        <f t="shared" si="46"/>
        <v>0</v>
      </c>
      <c r="DJ44" s="20"/>
      <c r="DK44" s="20" t="s">
        <v>93</v>
      </c>
      <c r="DL44" s="20"/>
      <c r="DM44" s="20">
        <v>250</v>
      </c>
      <c r="DN44" s="16">
        <f t="shared" si="47"/>
        <v>0</v>
      </c>
      <c r="DO44" s="20"/>
      <c r="DP44" s="20" t="s">
        <v>68</v>
      </c>
      <c r="DQ44" s="20"/>
      <c r="DR44" s="20">
        <v>9000</v>
      </c>
      <c r="DS44" s="16">
        <f t="shared" si="48"/>
        <v>0</v>
      </c>
      <c r="DT44" s="20"/>
      <c r="DU44" s="20" t="s">
        <v>147</v>
      </c>
      <c r="DV44" s="20"/>
      <c r="DW44" s="20">
        <v>250</v>
      </c>
      <c r="DX44" s="24">
        <f t="shared" si="49"/>
        <v>0</v>
      </c>
    </row>
    <row r="45" spans="1:128" s="2" customFormat="1" x14ac:dyDescent="0.3">
      <c r="A45" s="20"/>
      <c r="B45" s="16" t="str">
        <f>AD38</f>
        <v>FARMASI</v>
      </c>
      <c r="C45" s="16">
        <f>AG67</f>
        <v>0</v>
      </c>
      <c r="D45" s="17"/>
      <c r="E45" s="20" t="s">
        <v>106</v>
      </c>
      <c r="F45" s="17">
        <v>7</v>
      </c>
      <c r="G45" s="17">
        <v>26500</v>
      </c>
      <c r="H45" s="16">
        <f t="shared" si="26"/>
        <v>185500</v>
      </c>
      <c r="I45" s="19"/>
      <c r="J45" s="16" t="s">
        <v>53</v>
      </c>
      <c r="K45" s="19"/>
      <c r="L45" s="19">
        <v>1000</v>
      </c>
      <c r="M45" s="16">
        <f t="shared" si="27"/>
        <v>0</v>
      </c>
      <c r="N45" s="17"/>
      <c r="O45" s="20" t="s">
        <v>108</v>
      </c>
      <c r="P45" s="21"/>
      <c r="Q45" s="19">
        <v>70000</v>
      </c>
      <c r="R45" s="16">
        <f t="shared" si="28"/>
        <v>0</v>
      </c>
      <c r="S45" s="20"/>
      <c r="T45" s="20" t="s">
        <v>65</v>
      </c>
      <c r="U45" s="20"/>
      <c r="V45" s="20">
        <v>950</v>
      </c>
      <c r="W45" s="16">
        <f t="shared" si="29"/>
        <v>0</v>
      </c>
      <c r="X45" s="16"/>
      <c r="Y45" s="16" t="s">
        <v>53</v>
      </c>
      <c r="Z45" s="16"/>
      <c r="AA45" s="16">
        <v>93000</v>
      </c>
      <c r="AB45" s="16">
        <f t="shared" si="30"/>
        <v>0</v>
      </c>
      <c r="AC45" s="20"/>
      <c r="AD45" s="20" t="s">
        <v>108</v>
      </c>
      <c r="AE45" s="20"/>
      <c r="AF45" s="16">
        <v>70000</v>
      </c>
      <c r="AG45" s="16">
        <f t="shared" si="31"/>
        <v>0</v>
      </c>
      <c r="AH45" s="16"/>
      <c r="AI45" s="16" t="s">
        <v>304</v>
      </c>
      <c r="AJ45" s="22"/>
      <c r="AK45" s="19">
        <v>10000</v>
      </c>
      <c r="AL45" s="16">
        <f t="shared" si="32"/>
        <v>0</v>
      </c>
      <c r="AM45" s="16"/>
      <c r="AN45" s="16" t="s">
        <v>308</v>
      </c>
      <c r="AO45" s="16"/>
      <c r="AP45" s="16"/>
      <c r="AQ45" s="16">
        <f t="shared" si="33"/>
        <v>0</v>
      </c>
      <c r="AR45" s="16"/>
      <c r="AS45" s="16" t="s">
        <v>111</v>
      </c>
      <c r="AT45" s="16"/>
      <c r="AU45" s="16">
        <v>13000</v>
      </c>
      <c r="AV45" s="16">
        <f t="shared" si="34"/>
        <v>0</v>
      </c>
      <c r="AW45" s="16"/>
      <c r="AX45" s="16" t="s">
        <v>65</v>
      </c>
      <c r="AY45" s="16"/>
      <c r="AZ45" s="16">
        <v>950</v>
      </c>
      <c r="BA45" s="16">
        <f t="shared" si="35"/>
        <v>0</v>
      </c>
      <c r="BB45" s="20"/>
      <c r="BC45" s="20" t="s">
        <v>235</v>
      </c>
      <c r="BD45" s="17"/>
      <c r="BE45" s="17">
        <v>22000</v>
      </c>
      <c r="BF45" s="16">
        <f t="shared" si="36"/>
        <v>0</v>
      </c>
      <c r="BG45" s="20"/>
      <c r="BH45" s="20" t="s">
        <v>65</v>
      </c>
      <c r="BI45" s="20"/>
      <c r="BJ45" s="20">
        <v>950</v>
      </c>
      <c r="BK45" s="16">
        <f t="shared" si="37"/>
        <v>0</v>
      </c>
      <c r="BL45" s="16"/>
      <c r="BM45" s="16" t="s">
        <v>65</v>
      </c>
      <c r="BN45" s="16"/>
      <c r="BO45" s="16">
        <v>950</v>
      </c>
      <c r="BP45" s="16">
        <f t="shared" si="38"/>
        <v>0</v>
      </c>
      <c r="BQ45" s="16"/>
      <c r="BR45" s="16" t="s">
        <v>113</v>
      </c>
      <c r="BS45" s="16"/>
      <c r="BT45" s="16">
        <v>5000</v>
      </c>
      <c r="BU45" s="16">
        <f t="shared" ref="BU45:BU66" si="50">SUM(BS45*BT45)</f>
        <v>0</v>
      </c>
      <c r="BV45" s="16"/>
      <c r="BW45" s="16" t="s">
        <v>114</v>
      </c>
      <c r="BX45" s="16">
        <v>2</v>
      </c>
      <c r="BY45" s="16">
        <v>35000</v>
      </c>
      <c r="BZ45" s="20">
        <f t="shared" si="39"/>
        <v>70000</v>
      </c>
      <c r="CA45" s="16">
        <v>6</v>
      </c>
      <c r="CB45" s="16" t="s">
        <v>247</v>
      </c>
      <c r="CC45" s="16"/>
      <c r="CD45" s="16"/>
      <c r="CE45" s="16">
        <f t="shared" si="40"/>
        <v>0</v>
      </c>
      <c r="CF45" s="16">
        <v>6</v>
      </c>
      <c r="CG45" s="16" t="s">
        <v>309</v>
      </c>
      <c r="CH45" s="16"/>
      <c r="CI45" s="23">
        <v>85000</v>
      </c>
      <c r="CJ45" s="23">
        <f t="shared" si="41"/>
        <v>0</v>
      </c>
      <c r="CK45" s="20"/>
      <c r="CL45" s="20" t="s">
        <v>50</v>
      </c>
      <c r="CM45" s="20">
        <v>4</v>
      </c>
      <c r="CN45" s="20">
        <v>26000</v>
      </c>
      <c r="CO45" s="23">
        <f t="shared" si="42"/>
        <v>104000</v>
      </c>
      <c r="CP45" s="16"/>
      <c r="CQ45" s="16" t="s">
        <v>247</v>
      </c>
      <c r="CR45" s="16"/>
      <c r="CS45" s="16">
        <v>2000</v>
      </c>
      <c r="CT45" s="23">
        <f t="shared" si="43"/>
        <v>0</v>
      </c>
      <c r="CU45" s="20"/>
      <c r="CV45" s="20" t="s">
        <v>53</v>
      </c>
      <c r="CW45" s="20"/>
      <c r="CX45" s="20">
        <v>1000</v>
      </c>
      <c r="CY45" s="23">
        <f t="shared" si="44"/>
        <v>0</v>
      </c>
      <c r="CZ45" s="20"/>
      <c r="DA45" s="20" t="s">
        <v>70</v>
      </c>
      <c r="DB45" s="20"/>
      <c r="DC45" s="20">
        <v>350</v>
      </c>
      <c r="DD45" s="23">
        <f t="shared" si="45"/>
        <v>0</v>
      </c>
      <c r="DE45" s="16"/>
      <c r="DF45" s="16" t="s">
        <v>87</v>
      </c>
      <c r="DG45" s="16"/>
      <c r="DH45" s="16">
        <v>1550</v>
      </c>
      <c r="DI45" s="16">
        <f t="shared" si="46"/>
        <v>0</v>
      </c>
      <c r="DJ45" s="20"/>
      <c r="DK45" s="20" t="s">
        <v>117</v>
      </c>
      <c r="DL45" s="20"/>
      <c r="DM45" s="20">
        <v>250</v>
      </c>
      <c r="DN45" s="16">
        <f t="shared" si="47"/>
        <v>0</v>
      </c>
      <c r="DO45" s="20"/>
      <c r="DP45" s="20" t="s">
        <v>57</v>
      </c>
      <c r="DQ45" s="20"/>
      <c r="DR45" s="20">
        <v>4000</v>
      </c>
      <c r="DS45" s="16">
        <f t="shared" si="48"/>
        <v>0</v>
      </c>
      <c r="DT45" s="20"/>
      <c r="DU45" s="20" t="s">
        <v>83</v>
      </c>
      <c r="DV45" s="20"/>
      <c r="DW45" s="20">
        <v>3300</v>
      </c>
      <c r="DX45" s="24">
        <f t="shared" si="49"/>
        <v>0</v>
      </c>
    </row>
    <row r="46" spans="1:128" s="2" customFormat="1" x14ac:dyDescent="0.3">
      <c r="A46" s="20"/>
      <c r="B46" s="16" t="str">
        <f>AI38</f>
        <v>POLI</v>
      </c>
      <c r="C46" s="16">
        <f>AL67</f>
        <v>0</v>
      </c>
      <c r="D46" s="17"/>
      <c r="E46" s="20" t="s">
        <v>118</v>
      </c>
      <c r="F46" s="17"/>
      <c r="G46" s="17">
        <v>7000</v>
      </c>
      <c r="H46" s="16">
        <f t="shared" si="26"/>
        <v>0</v>
      </c>
      <c r="I46" s="19"/>
      <c r="J46" s="16" t="s">
        <v>264</v>
      </c>
      <c r="K46" s="19"/>
      <c r="L46" s="19">
        <v>5000</v>
      </c>
      <c r="M46" s="16">
        <f t="shared" si="27"/>
        <v>0</v>
      </c>
      <c r="N46" s="17"/>
      <c r="O46" s="20" t="s">
        <v>120</v>
      </c>
      <c r="P46" s="21"/>
      <c r="Q46" s="19">
        <v>3900</v>
      </c>
      <c r="R46" s="16">
        <f t="shared" si="28"/>
        <v>0</v>
      </c>
      <c r="S46" s="20"/>
      <c r="T46" s="20" t="s">
        <v>188</v>
      </c>
      <c r="U46" s="20"/>
      <c r="V46" s="20">
        <v>250</v>
      </c>
      <c r="W46" s="16">
        <f t="shared" si="29"/>
        <v>0</v>
      </c>
      <c r="X46" s="16"/>
      <c r="Y46" s="20" t="s">
        <v>57</v>
      </c>
      <c r="Z46" s="20"/>
      <c r="AA46" s="16">
        <v>4000</v>
      </c>
      <c r="AB46" s="16">
        <f t="shared" si="30"/>
        <v>0</v>
      </c>
      <c r="AC46" s="20"/>
      <c r="AD46" s="20" t="s">
        <v>68</v>
      </c>
      <c r="AE46" s="20"/>
      <c r="AF46" s="16">
        <v>9000</v>
      </c>
      <c r="AG46" s="16">
        <f t="shared" si="31"/>
        <v>0</v>
      </c>
      <c r="AH46" s="16"/>
      <c r="AI46" s="16" t="s">
        <v>310</v>
      </c>
      <c r="AJ46" s="22"/>
      <c r="AK46" s="19">
        <v>20000</v>
      </c>
      <c r="AL46" s="16">
        <f t="shared" si="32"/>
        <v>0</v>
      </c>
      <c r="AM46" s="16"/>
      <c r="AN46" s="16" t="s">
        <v>311</v>
      </c>
      <c r="AO46" s="16"/>
      <c r="AP46" s="16"/>
      <c r="AQ46" s="16">
        <f t="shared" si="33"/>
        <v>0</v>
      </c>
      <c r="AR46" s="16"/>
      <c r="AS46" s="16" t="s">
        <v>68</v>
      </c>
      <c r="AT46" s="16"/>
      <c r="AU46" s="16">
        <v>9000</v>
      </c>
      <c r="AV46" s="16">
        <f t="shared" si="34"/>
        <v>0</v>
      </c>
      <c r="AW46" s="16"/>
      <c r="AX46" s="16" t="s">
        <v>46</v>
      </c>
      <c r="AY46" s="16"/>
      <c r="AZ46" s="16">
        <v>14000</v>
      </c>
      <c r="BA46" s="16">
        <f t="shared" si="35"/>
        <v>0</v>
      </c>
      <c r="BB46" s="20"/>
      <c r="BC46" s="20" t="s">
        <v>175</v>
      </c>
      <c r="BD46" s="17">
        <v>20</v>
      </c>
      <c r="BE46" s="17">
        <v>250</v>
      </c>
      <c r="BF46" s="16">
        <f t="shared" si="36"/>
        <v>5000</v>
      </c>
      <c r="BG46" s="20"/>
      <c r="BH46" s="20" t="s">
        <v>100</v>
      </c>
      <c r="BI46" s="20"/>
      <c r="BJ46" s="20">
        <v>6500</v>
      </c>
      <c r="BK46" s="16">
        <f t="shared" si="37"/>
        <v>0</v>
      </c>
      <c r="BL46" s="16"/>
      <c r="BM46" s="16" t="s">
        <v>131</v>
      </c>
      <c r="BN46" s="16"/>
      <c r="BO46" s="16">
        <v>250</v>
      </c>
      <c r="BP46" s="16">
        <f t="shared" si="38"/>
        <v>0</v>
      </c>
      <c r="BQ46" s="16"/>
      <c r="BR46" s="16" t="s">
        <v>126</v>
      </c>
      <c r="BS46" s="16"/>
      <c r="BT46" s="16">
        <v>12000</v>
      </c>
      <c r="BU46" s="16">
        <f t="shared" si="50"/>
        <v>0</v>
      </c>
      <c r="BV46" s="16"/>
      <c r="BW46" s="16" t="s">
        <v>127</v>
      </c>
      <c r="BX46" s="16">
        <v>1</v>
      </c>
      <c r="BY46" s="16">
        <v>96450</v>
      </c>
      <c r="BZ46" s="20">
        <f t="shared" si="39"/>
        <v>96450</v>
      </c>
      <c r="CA46" s="16">
        <v>7</v>
      </c>
      <c r="CB46" s="16" t="s">
        <v>65</v>
      </c>
      <c r="CC46" s="16"/>
      <c r="CD46" s="16">
        <v>950</v>
      </c>
      <c r="CE46" s="16">
        <f t="shared" si="40"/>
        <v>0</v>
      </c>
      <c r="CF46" s="16">
        <v>7</v>
      </c>
      <c r="CG46" s="20" t="s">
        <v>242</v>
      </c>
      <c r="CH46" s="20"/>
      <c r="CI46" s="20">
        <v>85000</v>
      </c>
      <c r="CJ46" s="23">
        <f t="shared" si="41"/>
        <v>0</v>
      </c>
      <c r="CK46" s="20"/>
      <c r="CL46" s="20" t="s">
        <v>296</v>
      </c>
      <c r="CM46" s="20"/>
      <c r="CN46" s="20">
        <v>100</v>
      </c>
      <c r="CO46" s="23">
        <f t="shared" si="42"/>
        <v>0</v>
      </c>
      <c r="CP46" s="16"/>
      <c r="CQ46" s="16" t="s">
        <v>135</v>
      </c>
      <c r="CR46" s="16"/>
      <c r="CS46" s="16">
        <v>6500</v>
      </c>
      <c r="CT46" s="23">
        <f t="shared" si="43"/>
        <v>0</v>
      </c>
      <c r="CU46" s="20"/>
      <c r="CV46" s="20" t="s">
        <v>79</v>
      </c>
      <c r="CW46" s="20"/>
      <c r="CX46" s="20">
        <v>3300</v>
      </c>
      <c r="CY46" s="23">
        <f t="shared" si="44"/>
        <v>0</v>
      </c>
      <c r="CZ46" s="20"/>
      <c r="DA46" s="16" t="s">
        <v>312</v>
      </c>
      <c r="DB46" s="16"/>
      <c r="DC46" s="16">
        <v>12000</v>
      </c>
      <c r="DD46" s="23">
        <f t="shared" si="45"/>
        <v>0</v>
      </c>
      <c r="DE46" s="16"/>
      <c r="DF46" s="16" t="s">
        <v>103</v>
      </c>
      <c r="DG46" s="16"/>
      <c r="DH46" s="16">
        <v>8500</v>
      </c>
      <c r="DI46" s="16">
        <f t="shared" si="46"/>
        <v>0</v>
      </c>
      <c r="DJ46" s="20"/>
      <c r="DK46" s="20" t="s">
        <v>313</v>
      </c>
      <c r="DL46" s="20"/>
      <c r="DM46" s="20">
        <v>250</v>
      </c>
      <c r="DN46" s="16">
        <f t="shared" si="47"/>
        <v>0</v>
      </c>
      <c r="DO46" s="20"/>
      <c r="DP46" s="20" t="s">
        <v>65</v>
      </c>
      <c r="DQ46" s="20"/>
      <c r="DR46" s="20">
        <v>950</v>
      </c>
      <c r="DS46" s="16">
        <f t="shared" si="48"/>
        <v>0</v>
      </c>
      <c r="DT46" s="20"/>
      <c r="DU46" s="20" t="s">
        <v>88</v>
      </c>
      <c r="DV46" s="20"/>
      <c r="DW46" s="20">
        <v>2500</v>
      </c>
      <c r="DX46" s="24">
        <f t="shared" si="49"/>
        <v>0</v>
      </c>
    </row>
    <row r="47" spans="1:128" s="2" customFormat="1" x14ac:dyDescent="0.3">
      <c r="A47" s="20"/>
      <c r="B47" s="16" t="str">
        <f>AN38</f>
        <v>RADIOLOGI</v>
      </c>
      <c r="C47" s="16">
        <f>AQ67</f>
        <v>0</v>
      </c>
      <c r="D47" s="17"/>
      <c r="E47" s="16" t="s">
        <v>267</v>
      </c>
      <c r="F47" s="16">
        <v>1</v>
      </c>
      <c r="G47" s="16">
        <v>15000</v>
      </c>
      <c r="H47" s="16">
        <f t="shared" si="26"/>
        <v>15000</v>
      </c>
      <c r="I47" s="19"/>
      <c r="J47" s="16" t="s">
        <v>105</v>
      </c>
      <c r="K47" s="19"/>
      <c r="L47" s="19">
        <v>700</v>
      </c>
      <c r="M47" s="16">
        <f t="shared" si="27"/>
        <v>0</v>
      </c>
      <c r="N47" s="17"/>
      <c r="O47" s="20" t="s">
        <v>132</v>
      </c>
      <c r="P47" s="21"/>
      <c r="Q47" s="19">
        <v>2200</v>
      </c>
      <c r="R47" s="16">
        <f t="shared" si="28"/>
        <v>0</v>
      </c>
      <c r="S47" s="20"/>
      <c r="T47" s="20" t="s">
        <v>303</v>
      </c>
      <c r="U47" s="20"/>
      <c r="V47" s="20">
        <v>10000</v>
      </c>
      <c r="W47" s="16">
        <f t="shared" si="29"/>
        <v>0</v>
      </c>
      <c r="X47" s="16"/>
      <c r="Y47" s="16"/>
      <c r="Z47" s="16"/>
      <c r="AA47" s="16"/>
      <c r="AB47" s="16">
        <f t="shared" si="30"/>
        <v>0</v>
      </c>
      <c r="AC47" s="20"/>
      <c r="AD47" s="20" t="s">
        <v>314</v>
      </c>
      <c r="AE47" s="20"/>
      <c r="AF47" s="20">
        <v>17000</v>
      </c>
      <c r="AG47" s="16">
        <f t="shared" si="31"/>
        <v>0</v>
      </c>
      <c r="AH47" s="16"/>
      <c r="AI47" s="16" t="s">
        <v>54</v>
      </c>
      <c r="AJ47" s="22"/>
      <c r="AK47" s="19">
        <v>450</v>
      </c>
      <c r="AL47" s="16">
        <f t="shared" si="32"/>
        <v>0</v>
      </c>
      <c r="AM47" s="16"/>
      <c r="AN47" s="16" t="s">
        <v>62</v>
      </c>
      <c r="AO47" s="16"/>
      <c r="AP47" s="16">
        <v>7000</v>
      </c>
      <c r="AQ47" s="16">
        <f t="shared" si="33"/>
        <v>0</v>
      </c>
      <c r="AR47" s="16"/>
      <c r="AS47" s="16" t="s">
        <v>57</v>
      </c>
      <c r="AT47" s="16"/>
      <c r="AU47" s="16">
        <v>4000</v>
      </c>
      <c r="AV47" s="16">
        <f t="shared" si="34"/>
        <v>0</v>
      </c>
      <c r="AW47" s="16"/>
      <c r="AX47" s="16" t="s">
        <v>107</v>
      </c>
      <c r="AY47" s="16"/>
      <c r="AZ47" s="16">
        <v>11000</v>
      </c>
      <c r="BA47" s="16">
        <f t="shared" si="35"/>
        <v>0</v>
      </c>
      <c r="BB47" s="20"/>
      <c r="BC47" s="20" t="s">
        <v>315</v>
      </c>
      <c r="BD47" s="17"/>
      <c r="BE47" s="17">
        <v>250</v>
      </c>
      <c r="BF47" s="16">
        <f t="shared" si="36"/>
        <v>0</v>
      </c>
      <c r="BG47" s="20"/>
      <c r="BH47" s="20" t="s">
        <v>254</v>
      </c>
      <c r="BI47" s="20"/>
      <c r="BJ47" s="20">
        <v>5000</v>
      </c>
      <c r="BK47" s="16">
        <f t="shared" si="37"/>
        <v>0</v>
      </c>
      <c r="BL47" s="16"/>
      <c r="BM47" s="16" t="s">
        <v>51</v>
      </c>
      <c r="BN47" s="16"/>
      <c r="BO47" s="16">
        <v>100</v>
      </c>
      <c r="BP47" s="16">
        <f t="shared" si="38"/>
        <v>0</v>
      </c>
      <c r="BQ47" s="16"/>
      <c r="BR47" s="16" t="s">
        <v>149</v>
      </c>
      <c r="BS47" s="16"/>
      <c r="BT47" s="16">
        <v>60000</v>
      </c>
      <c r="BU47" s="16">
        <f t="shared" si="50"/>
        <v>0</v>
      </c>
      <c r="BV47" s="16"/>
      <c r="BW47" s="16" t="s">
        <v>139</v>
      </c>
      <c r="BX47" s="16">
        <v>1</v>
      </c>
      <c r="BY47" s="16">
        <v>104500</v>
      </c>
      <c r="BZ47" s="20">
        <f t="shared" si="39"/>
        <v>104500</v>
      </c>
      <c r="CA47" s="16">
        <v>8</v>
      </c>
      <c r="CB47" s="16" t="s">
        <v>87</v>
      </c>
      <c r="CC47" s="16"/>
      <c r="CD47" s="16">
        <v>1550</v>
      </c>
      <c r="CE47" s="16">
        <f t="shared" si="40"/>
        <v>0</v>
      </c>
      <c r="CF47" s="16">
        <v>8</v>
      </c>
      <c r="CG47" s="16" t="s">
        <v>65</v>
      </c>
      <c r="CH47" s="16"/>
      <c r="CI47" s="23">
        <v>950</v>
      </c>
      <c r="CJ47" s="23">
        <f t="shared" si="41"/>
        <v>0</v>
      </c>
      <c r="CK47" s="20"/>
      <c r="CL47" s="20" t="s">
        <v>90</v>
      </c>
      <c r="CM47" s="20"/>
      <c r="CN47" s="20">
        <v>7000</v>
      </c>
      <c r="CO47" s="23">
        <f t="shared" si="42"/>
        <v>0</v>
      </c>
      <c r="CP47" s="16"/>
      <c r="CQ47" s="20" t="s">
        <v>285</v>
      </c>
      <c r="CR47" s="20"/>
      <c r="CS47" s="20">
        <v>8500</v>
      </c>
      <c r="CT47" s="23">
        <f t="shared" si="43"/>
        <v>0</v>
      </c>
      <c r="CU47" s="20"/>
      <c r="CV47" s="20" t="s">
        <v>316</v>
      </c>
      <c r="CW47" s="20"/>
      <c r="CX47" s="20"/>
      <c r="CY47" s="23"/>
      <c r="CZ47" s="20"/>
      <c r="DA47" s="20" t="s">
        <v>317</v>
      </c>
      <c r="DB47" s="20"/>
      <c r="DC47" s="20">
        <v>10000</v>
      </c>
      <c r="DD47" s="23">
        <f t="shared" si="45"/>
        <v>0</v>
      </c>
      <c r="DE47" s="16"/>
      <c r="DF47" s="16" t="s">
        <v>185</v>
      </c>
      <c r="DG47" s="16"/>
      <c r="DH47" s="16">
        <v>15000</v>
      </c>
      <c r="DI47" s="16">
        <f t="shared" si="46"/>
        <v>0</v>
      </c>
      <c r="DJ47" s="20"/>
      <c r="DK47" s="20" t="s">
        <v>147</v>
      </c>
      <c r="DL47" s="20"/>
      <c r="DM47" s="20">
        <v>250</v>
      </c>
      <c r="DN47" s="16">
        <f t="shared" si="47"/>
        <v>0</v>
      </c>
      <c r="DO47" s="20"/>
      <c r="DP47" s="20" t="s">
        <v>152</v>
      </c>
      <c r="DQ47" s="17"/>
      <c r="DR47" s="17">
        <v>3000</v>
      </c>
      <c r="DS47" s="16">
        <f t="shared" si="48"/>
        <v>0</v>
      </c>
      <c r="DT47" s="20"/>
      <c r="DU47" s="20" t="s">
        <v>65</v>
      </c>
      <c r="DV47" s="20"/>
      <c r="DW47" s="20">
        <v>950</v>
      </c>
      <c r="DX47" s="24">
        <f t="shared" si="49"/>
        <v>0</v>
      </c>
    </row>
    <row r="48" spans="1:128" s="2" customFormat="1" x14ac:dyDescent="0.3">
      <c r="A48" s="20"/>
      <c r="B48" s="16" t="str">
        <f>AS38</f>
        <v>LABORAT</v>
      </c>
      <c r="C48" s="16">
        <f>AV67</f>
        <v>0</v>
      </c>
      <c r="D48" s="17"/>
      <c r="E48" s="20" t="s">
        <v>143</v>
      </c>
      <c r="F48" s="17"/>
      <c r="G48" s="17">
        <v>15000</v>
      </c>
      <c r="H48" s="16">
        <f t="shared" si="26"/>
        <v>0</v>
      </c>
      <c r="I48" s="19"/>
      <c r="J48" s="16" t="s">
        <v>144</v>
      </c>
      <c r="K48" s="19"/>
      <c r="L48" s="19">
        <v>700</v>
      </c>
      <c r="M48" s="16">
        <f t="shared" si="27"/>
        <v>0</v>
      </c>
      <c r="N48" s="17"/>
      <c r="O48" s="20" t="s">
        <v>318</v>
      </c>
      <c r="P48" s="21"/>
      <c r="Q48" s="19">
        <v>8500</v>
      </c>
      <c r="R48" s="16">
        <f t="shared" si="28"/>
        <v>0</v>
      </c>
      <c r="S48" s="20"/>
      <c r="T48" s="20" t="s">
        <v>147</v>
      </c>
      <c r="U48" s="20"/>
      <c r="V48" s="20">
        <v>250</v>
      </c>
      <c r="W48" s="16">
        <f t="shared" si="29"/>
        <v>0</v>
      </c>
      <c r="X48" s="16"/>
      <c r="Y48" s="16"/>
      <c r="Z48" s="16"/>
      <c r="AA48" s="16"/>
      <c r="AB48" s="16">
        <f t="shared" si="30"/>
        <v>0</v>
      </c>
      <c r="AC48" s="20"/>
      <c r="AD48" s="20" t="s">
        <v>168</v>
      </c>
      <c r="AE48" s="20"/>
      <c r="AF48" s="16">
        <v>15000</v>
      </c>
      <c r="AG48" s="16">
        <f t="shared" si="31"/>
        <v>0</v>
      </c>
      <c r="AH48" s="16"/>
      <c r="AI48" s="16" t="s">
        <v>96</v>
      </c>
      <c r="AJ48" s="22"/>
      <c r="AK48" s="19">
        <v>10000</v>
      </c>
      <c r="AL48" s="16">
        <f t="shared" si="32"/>
        <v>0</v>
      </c>
      <c r="AM48" s="16"/>
      <c r="AN48" s="16" t="s">
        <v>319</v>
      </c>
      <c r="AO48" s="16"/>
      <c r="AP48" s="16">
        <v>5000</v>
      </c>
      <c r="AQ48" s="16">
        <f t="shared" si="33"/>
        <v>0</v>
      </c>
      <c r="AR48" s="16"/>
      <c r="AS48" s="16" t="s">
        <v>312</v>
      </c>
      <c r="AT48" s="16"/>
      <c r="AU48" s="16">
        <v>12000</v>
      </c>
      <c r="AV48" s="16">
        <f t="shared" si="34"/>
        <v>0</v>
      </c>
      <c r="AW48" s="16"/>
      <c r="AX48" s="16" t="s">
        <v>247</v>
      </c>
      <c r="AY48" s="16"/>
      <c r="AZ48" s="16">
        <v>1550</v>
      </c>
      <c r="BA48" s="16">
        <f t="shared" si="35"/>
        <v>0</v>
      </c>
      <c r="BB48" s="20"/>
      <c r="BC48" s="20" t="s">
        <v>320</v>
      </c>
      <c r="BD48" s="17"/>
      <c r="BE48" s="17">
        <v>700</v>
      </c>
      <c r="BF48" s="16">
        <f t="shared" si="36"/>
        <v>0</v>
      </c>
      <c r="BG48" s="20"/>
      <c r="BH48" s="20" t="s">
        <v>321</v>
      </c>
      <c r="BI48" s="20"/>
      <c r="BJ48" s="20">
        <v>350</v>
      </c>
      <c r="BK48" s="16">
        <f t="shared" si="37"/>
        <v>0</v>
      </c>
      <c r="BL48" s="16"/>
      <c r="BM48" s="16" t="s">
        <v>121</v>
      </c>
      <c r="BN48" s="16"/>
      <c r="BO48" s="16">
        <v>250</v>
      </c>
      <c r="BP48" s="16">
        <f t="shared" si="38"/>
        <v>0</v>
      </c>
      <c r="BQ48" s="16"/>
      <c r="BR48" s="16" t="s">
        <v>322</v>
      </c>
      <c r="BS48" s="16"/>
      <c r="BT48" s="16">
        <v>23000</v>
      </c>
      <c r="BU48" s="16">
        <f t="shared" si="50"/>
        <v>0</v>
      </c>
      <c r="BV48" s="16"/>
      <c r="BW48" s="16" t="s">
        <v>323</v>
      </c>
      <c r="BX48" s="16"/>
      <c r="BY48" s="16">
        <v>15000</v>
      </c>
      <c r="BZ48" s="20">
        <f t="shared" si="39"/>
        <v>0</v>
      </c>
      <c r="CA48" s="16">
        <v>9</v>
      </c>
      <c r="CB48" s="16" t="s">
        <v>80</v>
      </c>
      <c r="CC48" s="16"/>
      <c r="CD48" s="16">
        <v>17500</v>
      </c>
      <c r="CE48" s="16">
        <f t="shared" si="40"/>
        <v>0</v>
      </c>
      <c r="CF48" s="16">
        <v>9</v>
      </c>
      <c r="CG48" s="16" t="s">
        <v>57</v>
      </c>
      <c r="CH48" s="16">
        <v>1</v>
      </c>
      <c r="CI48" s="23">
        <v>4000</v>
      </c>
      <c r="CJ48" s="23">
        <f t="shared" si="41"/>
        <v>4000</v>
      </c>
      <c r="CK48" s="20"/>
      <c r="CL48" s="16" t="s">
        <v>110</v>
      </c>
      <c r="CM48" s="16">
        <v>1</v>
      </c>
      <c r="CN48" s="16">
        <v>85000</v>
      </c>
      <c r="CO48" s="23">
        <f t="shared" si="42"/>
        <v>85000</v>
      </c>
      <c r="CP48" s="16"/>
      <c r="CQ48" s="16" t="s">
        <v>68</v>
      </c>
      <c r="CR48" s="16"/>
      <c r="CS48" s="16">
        <v>9000</v>
      </c>
      <c r="CT48" s="23">
        <f t="shared" si="43"/>
        <v>0</v>
      </c>
      <c r="CU48" s="20"/>
      <c r="CV48" s="20" t="s">
        <v>324</v>
      </c>
      <c r="CW48" s="20"/>
      <c r="CX48" s="20">
        <v>15000</v>
      </c>
      <c r="CY48" s="23">
        <f t="shared" ref="CY48:CY66" si="51">SUM(CW48*CX48)</f>
        <v>0</v>
      </c>
      <c r="CZ48" s="20"/>
      <c r="DA48" s="20" t="s">
        <v>325</v>
      </c>
      <c r="DB48" s="20"/>
      <c r="DC48" s="20">
        <v>250</v>
      </c>
      <c r="DD48" s="23">
        <f t="shared" si="45"/>
        <v>0</v>
      </c>
      <c r="DE48" s="16"/>
      <c r="DF48" s="16" t="s">
        <v>41</v>
      </c>
      <c r="DG48" s="16"/>
      <c r="DH48" s="16">
        <v>28000</v>
      </c>
      <c r="DI48" s="16">
        <f t="shared" si="46"/>
        <v>0</v>
      </c>
      <c r="DJ48" s="20"/>
      <c r="DK48" s="20" t="s">
        <v>326</v>
      </c>
      <c r="DL48" s="20"/>
      <c r="DM48" s="20">
        <v>250</v>
      </c>
      <c r="DN48" s="16">
        <f t="shared" si="47"/>
        <v>0</v>
      </c>
      <c r="DO48" s="20"/>
      <c r="DP48" s="20" t="s">
        <v>327</v>
      </c>
      <c r="DQ48" s="20"/>
      <c r="DR48" s="20">
        <v>250</v>
      </c>
      <c r="DS48" s="16">
        <f t="shared" si="48"/>
        <v>0</v>
      </c>
      <c r="DT48" s="20"/>
      <c r="DU48" s="20" t="s">
        <v>131</v>
      </c>
      <c r="DV48" s="20"/>
      <c r="DW48" s="20">
        <v>250</v>
      </c>
      <c r="DX48" s="24">
        <f t="shared" si="49"/>
        <v>0</v>
      </c>
    </row>
    <row r="49" spans="1:128" s="2" customFormat="1" x14ac:dyDescent="0.3">
      <c r="A49" s="20"/>
      <c r="B49" s="16" t="str">
        <f>AX38</f>
        <v>OK</v>
      </c>
      <c r="C49" s="16">
        <f>BA67</f>
        <v>169000</v>
      </c>
      <c r="D49" s="17"/>
      <c r="E49" s="20" t="s">
        <v>153</v>
      </c>
      <c r="F49" s="17"/>
      <c r="G49" s="17">
        <v>40000</v>
      </c>
      <c r="H49" s="16">
        <f t="shared" si="26"/>
        <v>0</v>
      </c>
      <c r="I49" s="19"/>
      <c r="J49" s="16" t="s">
        <v>147</v>
      </c>
      <c r="K49" s="19"/>
      <c r="L49" s="19">
        <v>250</v>
      </c>
      <c r="M49" s="16">
        <f t="shared" si="27"/>
        <v>0</v>
      </c>
      <c r="N49" s="17"/>
      <c r="O49" s="20" t="s">
        <v>154</v>
      </c>
      <c r="P49" s="21"/>
      <c r="Q49" s="19">
        <v>15000</v>
      </c>
      <c r="R49" s="16">
        <f t="shared" si="28"/>
        <v>0</v>
      </c>
      <c r="S49" s="20"/>
      <c r="T49" s="20" t="s">
        <v>68</v>
      </c>
      <c r="U49" s="20"/>
      <c r="V49" s="20">
        <v>9000</v>
      </c>
      <c r="W49" s="16">
        <f t="shared" si="29"/>
        <v>0</v>
      </c>
      <c r="X49" s="16"/>
      <c r="Y49" s="16"/>
      <c r="Z49" s="16"/>
      <c r="AA49" s="16"/>
      <c r="AB49" s="16">
        <f t="shared" si="30"/>
        <v>0</v>
      </c>
      <c r="AC49" s="20"/>
      <c r="AD49" s="20" t="s">
        <v>90</v>
      </c>
      <c r="AE49" s="20"/>
      <c r="AF49" s="16">
        <v>7000</v>
      </c>
      <c r="AG49" s="16">
        <f t="shared" si="31"/>
        <v>0</v>
      </c>
      <c r="AH49" s="16"/>
      <c r="AI49" s="16" t="s">
        <v>90</v>
      </c>
      <c r="AJ49" s="22"/>
      <c r="AK49" s="19">
        <v>7000</v>
      </c>
      <c r="AL49" s="16">
        <f t="shared" si="32"/>
        <v>0</v>
      </c>
      <c r="AM49" s="16"/>
      <c r="AN49" s="16" t="s">
        <v>110</v>
      </c>
      <c r="AO49" s="16"/>
      <c r="AP49" s="16">
        <v>85000</v>
      </c>
      <c r="AQ49" s="16">
        <f t="shared" si="33"/>
        <v>0</v>
      </c>
      <c r="AR49" s="16"/>
      <c r="AS49" s="16" t="s">
        <v>90</v>
      </c>
      <c r="AT49" s="16"/>
      <c r="AU49" s="16">
        <v>7000</v>
      </c>
      <c r="AV49" s="16">
        <f t="shared" si="34"/>
        <v>0</v>
      </c>
      <c r="AW49" s="16"/>
      <c r="AX49" s="16" t="s">
        <v>279</v>
      </c>
      <c r="AY49" s="16"/>
      <c r="AZ49" s="16">
        <v>4000</v>
      </c>
      <c r="BA49" s="16">
        <f t="shared" si="35"/>
        <v>0</v>
      </c>
      <c r="BB49" s="20"/>
      <c r="BC49" s="20" t="s">
        <v>68</v>
      </c>
      <c r="BD49" s="17"/>
      <c r="BE49" s="17">
        <v>9000</v>
      </c>
      <c r="BF49" s="16">
        <f t="shared" si="36"/>
        <v>0</v>
      </c>
      <c r="BG49" s="20"/>
      <c r="BH49" s="20" t="s">
        <v>152</v>
      </c>
      <c r="BI49" s="20"/>
      <c r="BJ49" s="20">
        <v>3000</v>
      </c>
      <c r="BK49" s="16">
        <f t="shared" si="37"/>
        <v>0</v>
      </c>
      <c r="BL49" s="16"/>
      <c r="BM49" s="16" t="s">
        <v>68</v>
      </c>
      <c r="BN49" s="16"/>
      <c r="BO49" s="16">
        <v>7000</v>
      </c>
      <c r="BP49" s="16">
        <f t="shared" si="38"/>
        <v>0</v>
      </c>
      <c r="BQ49" s="16"/>
      <c r="BR49" s="16" t="s">
        <v>171</v>
      </c>
      <c r="BS49" s="16"/>
      <c r="BT49" s="16">
        <v>15000</v>
      </c>
      <c r="BU49" s="16">
        <f t="shared" si="50"/>
        <v>0</v>
      </c>
      <c r="BV49" s="16"/>
      <c r="BW49" s="16"/>
      <c r="BX49" s="16"/>
      <c r="BY49" s="16"/>
      <c r="BZ49" s="20">
        <f t="shared" si="39"/>
        <v>0</v>
      </c>
      <c r="CA49" s="16">
        <v>10</v>
      </c>
      <c r="CB49" s="16" t="s">
        <v>213</v>
      </c>
      <c r="CC49" s="16"/>
      <c r="CD49" s="16">
        <v>2000</v>
      </c>
      <c r="CE49" s="16">
        <f t="shared" si="40"/>
        <v>0</v>
      </c>
      <c r="CF49" s="16">
        <v>10</v>
      </c>
      <c r="CG49" s="16" t="s">
        <v>178</v>
      </c>
      <c r="CH49" s="16">
        <v>2000</v>
      </c>
      <c r="CI49" s="23">
        <v>250</v>
      </c>
      <c r="CJ49" s="23">
        <f t="shared" si="41"/>
        <v>500000</v>
      </c>
      <c r="CK49" s="20"/>
      <c r="CL49" s="16" t="s">
        <v>43</v>
      </c>
      <c r="CM49" s="16"/>
      <c r="CN49" s="23">
        <v>1550</v>
      </c>
      <c r="CO49" s="23">
        <f t="shared" si="42"/>
        <v>0</v>
      </c>
      <c r="CP49" s="16"/>
      <c r="CQ49" s="16" t="s">
        <v>57</v>
      </c>
      <c r="CR49" s="16"/>
      <c r="CS49" s="16">
        <v>4000</v>
      </c>
      <c r="CT49" s="23">
        <f t="shared" si="43"/>
        <v>0</v>
      </c>
      <c r="CU49" s="20"/>
      <c r="CV49" s="20" t="s">
        <v>199</v>
      </c>
      <c r="CW49" s="20"/>
      <c r="CX49" s="20">
        <v>250</v>
      </c>
      <c r="CY49" s="23">
        <f t="shared" si="51"/>
        <v>0</v>
      </c>
      <c r="CZ49" s="20"/>
      <c r="DA49" s="20" t="s">
        <v>260</v>
      </c>
      <c r="DB49" s="20"/>
      <c r="DC49" s="20">
        <v>250</v>
      </c>
      <c r="DD49" s="23">
        <f t="shared" si="45"/>
        <v>0</v>
      </c>
      <c r="DE49" s="16"/>
      <c r="DF49" s="16" t="s">
        <v>69</v>
      </c>
      <c r="DG49" s="16"/>
      <c r="DH49" s="16">
        <v>93000</v>
      </c>
      <c r="DI49" s="16">
        <f t="shared" si="46"/>
        <v>0</v>
      </c>
      <c r="DJ49" s="20"/>
      <c r="DK49" s="20" t="s">
        <v>328</v>
      </c>
      <c r="DL49" s="20"/>
      <c r="DM49" s="20">
        <v>250</v>
      </c>
      <c r="DN49" s="16">
        <f t="shared" si="47"/>
        <v>0</v>
      </c>
      <c r="DO49" s="20"/>
      <c r="DP49" s="20" t="s">
        <v>131</v>
      </c>
      <c r="DQ49" s="20"/>
      <c r="DR49" s="20">
        <v>250</v>
      </c>
      <c r="DS49" s="16">
        <f t="shared" si="48"/>
        <v>0</v>
      </c>
      <c r="DT49" s="20"/>
      <c r="DU49" s="20" t="s">
        <v>90</v>
      </c>
      <c r="DV49" s="20"/>
      <c r="DW49" s="20">
        <v>7000</v>
      </c>
      <c r="DX49" s="24">
        <f t="shared" si="49"/>
        <v>0</v>
      </c>
    </row>
    <row r="50" spans="1:128" s="2" customFormat="1" x14ac:dyDescent="0.3">
      <c r="A50" s="20"/>
      <c r="B50" s="16" t="str">
        <f>BC38</f>
        <v>VK</v>
      </c>
      <c r="C50" s="16">
        <f>BF67</f>
        <v>159500</v>
      </c>
      <c r="D50" s="17"/>
      <c r="E50" s="20" t="s">
        <v>174</v>
      </c>
      <c r="F50" s="17"/>
      <c r="G50" s="17">
        <v>20000</v>
      </c>
      <c r="H50" s="16">
        <f t="shared" si="26"/>
        <v>0</v>
      </c>
      <c r="I50" s="19"/>
      <c r="J50" s="16" t="s">
        <v>329</v>
      </c>
      <c r="K50" s="19"/>
      <c r="L50" s="19">
        <v>250</v>
      </c>
      <c r="M50" s="16">
        <f t="shared" si="27"/>
        <v>0</v>
      </c>
      <c r="N50" s="17"/>
      <c r="O50" s="20" t="s">
        <v>289</v>
      </c>
      <c r="P50" s="21"/>
      <c r="Q50" s="19">
        <v>250</v>
      </c>
      <c r="R50" s="16">
        <f t="shared" si="28"/>
        <v>0</v>
      </c>
      <c r="S50" s="20"/>
      <c r="T50" s="20" t="s">
        <v>57</v>
      </c>
      <c r="U50" s="20"/>
      <c r="V50" s="20">
        <v>4000</v>
      </c>
      <c r="W50" s="16">
        <f t="shared" si="29"/>
        <v>0</v>
      </c>
      <c r="X50" s="16"/>
      <c r="Y50" s="16"/>
      <c r="Z50" s="16"/>
      <c r="AA50" s="16"/>
      <c r="AB50" s="16">
        <f t="shared" si="30"/>
        <v>0</v>
      </c>
      <c r="AC50" s="20"/>
      <c r="AD50" s="20" t="s">
        <v>166</v>
      </c>
      <c r="AE50" s="20"/>
      <c r="AF50" s="16">
        <v>28000</v>
      </c>
      <c r="AG50" s="16">
        <f t="shared" si="31"/>
        <v>0</v>
      </c>
      <c r="AH50" s="16"/>
      <c r="AI50" s="16" t="s">
        <v>330</v>
      </c>
      <c r="AJ50" s="22"/>
      <c r="AK50" s="19">
        <v>85000</v>
      </c>
      <c r="AL50" s="16">
        <f t="shared" si="32"/>
        <v>0</v>
      </c>
      <c r="AM50" s="16"/>
      <c r="AN50" s="16" t="s">
        <v>43</v>
      </c>
      <c r="AO50" s="16"/>
      <c r="AP50" s="16">
        <v>1500</v>
      </c>
      <c r="AQ50" s="16">
        <f t="shared" si="33"/>
        <v>0</v>
      </c>
      <c r="AR50" s="16"/>
      <c r="AS50" s="16" t="s">
        <v>235</v>
      </c>
      <c r="AT50" s="16"/>
      <c r="AU50" s="16">
        <v>22000</v>
      </c>
      <c r="AV50" s="16">
        <f t="shared" si="34"/>
        <v>0</v>
      </c>
      <c r="AW50" s="16"/>
      <c r="AX50" s="16" t="s">
        <v>90</v>
      </c>
      <c r="AY50" s="16"/>
      <c r="AZ50" s="16">
        <v>7000</v>
      </c>
      <c r="BA50" s="16">
        <f t="shared" si="35"/>
        <v>0</v>
      </c>
      <c r="BB50" s="20"/>
      <c r="BC50" s="16" t="s">
        <v>203</v>
      </c>
      <c r="BD50" s="16"/>
      <c r="BE50" s="16">
        <v>20000</v>
      </c>
      <c r="BF50" s="16">
        <f t="shared" si="36"/>
        <v>0</v>
      </c>
      <c r="BG50" s="20"/>
      <c r="BH50" s="20" t="s">
        <v>68</v>
      </c>
      <c r="BI50" s="20"/>
      <c r="BJ50" s="20">
        <v>9000</v>
      </c>
      <c r="BK50" s="16">
        <f t="shared" si="37"/>
        <v>0</v>
      </c>
      <c r="BL50" s="16"/>
      <c r="BM50" s="16" t="s">
        <v>57</v>
      </c>
      <c r="BN50" s="16"/>
      <c r="BO50" s="16">
        <v>4000</v>
      </c>
      <c r="BP50" s="16">
        <f t="shared" si="38"/>
        <v>0</v>
      </c>
      <c r="BQ50" s="16"/>
      <c r="BR50" s="16" t="s">
        <v>331</v>
      </c>
      <c r="BS50" s="16"/>
      <c r="BT50" s="16">
        <v>2000</v>
      </c>
      <c r="BU50" s="16">
        <f t="shared" si="50"/>
        <v>0</v>
      </c>
      <c r="BV50" s="16"/>
      <c r="BW50" s="16"/>
      <c r="BX50" s="16"/>
      <c r="BY50" s="16"/>
      <c r="BZ50" s="20">
        <f t="shared" si="39"/>
        <v>0</v>
      </c>
      <c r="CA50" s="16"/>
      <c r="CB50" s="16"/>
      <c r="CC50" s="16"/>
      <c r="CD50" s="16"/>
      <c r="CE50" s="16">
        <f t="shared" si="40"/>
        <v>0</v>
      </c>
      <c r="CF50" s="16">
        <v>11</v>
      </c>
      <c r="CG50" s="16" t="s">
        <v>194</v>
      </c>
      <c r="CH50" s="16"/>
      <c r="CI50" s="23">
        <v>15000</v>
      </c>
      <c r="CJ50" s="23">
        <f t="shared" si="41"/>
        <v>0</v>
      </c>
      <c r="CK50" s="20"/>
      <c r="CL50" s="20"/>
      <c r="CM50" s="20"/>
      <c r="CN50" s="20"/>
      <c r="CO50" s="23">
        <f t="shared" si="42"/>
        <v>0</v>
      </c>
      <c r="CP50" s="16"/>
      <c r="CQ50" s="16" t="s">
        <v>111</v>
      </c>
      <c r="CR50" s="16"/>
      <c r="CS50" s="16">
        <v>13000</v>
      </c>
      <c r="CT50" s="23">
        <f t="shared" si="43"/>
        <v>0</v>
      </c>
      <c r="CU50" s="20"/>
      <c r="CV50" s="20" t="s">
        <v>332</v>
      </c>
      <c r="CW50" s="20"/>
      <c r="CX50" s="20">
        <v>1000</v>
      </c>
      <c r="CY50" s="23">
        <f t="shared" si="51"/>
        <v>0</v>
      </c>
      <c r="CZ50" s="20"/>
      <c r="DA50" s="20" t="s">
        <v>333</v>
      </c>
      <c r="DB50" s="20"/>
      <c r="DC50" s="20">
        <v>250</v>
      </c>
      <c r="DD50" s="23">
        <f t="shared" si="45"/>
        <v>0</v>
      </c>
      <c r="DE50" s="16"/>
      <c r="DF50" s="16" t="s">
        <v>189</v>
      </c>
      <c r="DG50" s="16"/>
      <c r="DH50" s="16">
        <v>17000</v>
      </c>
      <c r="DI50" s="16">
        <f t="shared" si="46"/>
        <v>0</v>
      </c>
      <c r="DJ50" s="20"/>
      <c r="DK50" s="20" t="s">
        <v>68</v>
      </c>
      <c r="DL50" s="20"/>
      <c r="DM50" s="20">
        <v>9000</v>
      </c>
      <c r="DN50" s="16">
        <f t="shared" si="47"/>
        <v>0</v>
      </c>
      <c r="DO50" s="20"/>
      <c r="DP50" s="20" t="s">
        <v>321</v>
      </c>
      <c r="DQ50" s="20"/>
      <c r="DR50" s="20">
        <v>350</v>
      </c>
      <c r="DS50" s="16">
        <f t="shared" si="48"/>
        <v>0</v>
      </c>
      <c r="DT50" s="20"/>
      <c r="DU50" s="20" t="s">
        <v>334</v>
      </c>
      <c r="DV50" s="20"/>
      <c r="DW50" s="20">
        <v>250</v>
      </c>
      <c r="DX50" s="24">
        <f t="shared" si="49"/>
        <v>0</v>
      </c>
    </row>
    <row r="51" spans="1:128" s="2" customFormat="1" x14ac:dyDescent="0.3">
      <c r="A51" s="20"/>
      <c r="B51" s="16" t="str">
        <f>BH38</f>
        <v>MULTAZAM</v>
      </c>
      <c r="C51" s="16">
        <f>BK67</f>
        <v>0</v>
      </c>
      <c r="D51" s="17"/>
      <c r="E51" s="20" t="s">
        <v>189</v>
      </c>
      <c r="F51" s="17"/>
      <c r="G51" s="17">
        <v>10000</v>
      </c>
      <c r="H51" s="16">
        <f t="shared" si="26"/>
        <v>0</v>
      </c>
      <c r="I51" s="19"/>
      <c r="J51" s="16" t="s">
        <v>123</v>
      </c>
      <c r="K51" s="19"/>
      <c r="L51" s="19">
        <v>350</v>
      </c>
      <c r="M51" s="16">
        <f t="shared" si="27"/>
        <v>0</v>
      </c>
      <c r="N51" s="17"/>
      <c r="O51" s="20" t="s">
        <v>335</v>
      </c>
      <c r="P51" s="21"/>
      <c r="Q51" s="19">
        <v>5000</v>
      </c>
      <c r="R51" s="16">
        <f t="shared" si="28"/>
        <v>0</v>
      </c>
      <c r="S51" s="20"/>
      <c r="T51" s="20" t="s">
        <v>90</v>
      </c>
      <c r="U51" s="20"/>
      <c r="V51" s="20">
        <v>7000</v>
      </c>
      <c r="W51" s="16">
        <f t="shared" si="29"/>
        <v>0</v>
      </c>
      <c r="X51" s="16"/>
      <c r="Y51" s="16"/>
      <c r="Z51" s="16"/>
      <c r="AA51" s="16"/>
      <c r="AB51" s="16">
        <f t="shared" si="30"/>
        <v>0</v>
      </c>
      <c r="AC51" s="20"/>
      <c r="AD51" s="20" t="s">
        <v>177</v>
      </c>
      <c r="AE51" s="20"/>
      <c r="AF51" s="16">
        <v>39000</v>
      </c>
      <c r="AG51" s="16">
        <f t="shared" si="31"/>
        <v>0</v>
      </c>
      <c r="AH51" s="16"/>
      <c r="AI51" s="16" t="s">
        <v>38</v>
      </c>
      <c r="AJ51" s="22"/>
      <c r="AK51" s="19">
        <v>250</v>
      </c>
      <c r="AL51" s="16">
        <f t="shared" si="32"/>
        <v>0</v>
      </c>
      <c r="AM51" s="16"/>
      <c r="AN51" s="16" t="s">
        <v>90</v>
      </c>
      <c r="AO51" s="16"/>
      <c r="AP51" s="16">
        <v>7000</v>
      </c>
      <c r="AQ51" s="16">
        <f t="shared" si="33"/>
        <v>0</v>
      </c>
      <c r="AR51" s="16"/>
      <c r="AS51" s="16" t="s">
        <v>62</v>
      </c>
      <c r="AT51" s="16"/>
      <c r="AU51" s="16">
        <v>7000</v>
      </c>
      <c r="AV51" s="16">
        <f t="shared" si="34"/>
        <v>0</v>
      </c>
      <c r="AW51" s="16"/>
      <c r="AX51" s="16" t="s">
        <v>336</v>
      </c>
      <c r="AY51" s="16"/>
      <c r="AZ51" s="16">
        <v>50000</v>
      </c>
      <c r="BA51" s="16">
        <f t="shared" si="35"/>
        <v>0</v>
      </c>
      <c r="BB51" s="20"/>
      <c r="BC51" s="20" t="s">
        <v>97</v>
      </c>
      <c r="BD51" s="17">
        <v>20</v>
      </c>
      <c r="BE51" s="17">
        <v>250</v>
      </c>
      <c r="BF51" s="16">
        <f t="shared" si="36"/>
        <v>5000</v>
      </c>
      <c r="BG51" s="20"/>
      <c r="BH51" s="20" t="s">
        <v>57</v>
      </c>
      <c r="BI51" s="20"/>
      <c r="BJ51" s="20">
        <v>4000</v>
      </c>
      <c r="BK51" s="16">
        <f t="shared" si="37"/>
        <v>0</v>
      </c>
      <c r="BL51" s="16"/>
      <c r="BM51" s="16" t="s">
        <v>90</v>
      </c>
      <c r="BN51" s="16"/>
      <c r="BO51" s="16">
        <v>7000</v>
      </c>
      <c r="BP51" s="16">
        <f t="shared" si="38"/>
        <v>0</v>
      </c>
      <c r="BQ51" s="16"/>
      <c r="BR51" s="16" t="s">
        <v>107</v>
      </c>
      <c r="BS51" s="16"/>
      <c r="BT51" s="16">
        <v>10000</v>
      </c>
      <c r="BU51" s="16">
        <f t="shared" si="50"/>
        <v>0</v>
      </c>
      <c r="BV51" s="16"/>
      <c r="BW51" s="16"/>
      <c r="BX51" s="16"/>
      <c r="BY51" s="16"/>
      <c r="BZ51" s="20">
        <f t="shared" si="39"/>
        <v>0</v>
      </c>
      <c r="CA51" s="16"/>
      <c r="CB51" s="16"/>
      <c r="CC51" s="16"/>
      <c r="CD51" s="16"/>
      <c r="CE51" s="16">
        <f t="shared" si="40"/>
        <v>0</v>
      </c>
      <c r="CF51" s="16">
        <v>12</v>
      </c>
      <c r="CG51" s="16" t="s">
        <v>90</v>
      </c>
      <c r="CH51" s="16"/>
      <c r="CI51" s="23">
        <v>7000</v>
      </c>
      <c r="CJ51" s="23">
        <f t="shared" si="41"/>
        <v>0</v>
      </c>
      <c r="CK51" s="20"/>
      <c r="CL51" s="20"/>
      <c r="CM51" s="20"/>
      <c r="CN51" s="20"/>
      <c r="CO51" s="23">
        <f t="shared" si="42"/>
        <v>0</v>
      </c>
      <c r="CP51" s="16"/>
      <c r="CQ51" s="16" t="s">
        <v>195</v>
      </c>
      <c r="CR51" s="16"/>
      <c r="CS51" s="16">
        <v>1500</v>
      </c>
      <c r="CT51" s="23">
        <f t="shared" si="43"/>
        <v>0</v>
      </c>
      <c r="CU51" s="20"/>
      <c r="CV51" s="20" t="s">
        <v>337</v>
      </c>
      <c r="CW51" s="20"/>
      <c r="CX51" s="20">
        <v>250</v>
      </c>
      <c r="CY51" s="23">
        <f t="shared" si="51"/>
        <v>0</v>
      </c>
      <c r="CZ51" s="20"/>
      <c r="DA51" s="20" t="s">
        <v>338</v>
      </c>
      <c r="DB51" s="20"/>
      <c r="DC51" s="20">
        <v>250</v>
      </c>
      <c r="DD51" s="23">
        <f t="shared" si="45"/>
        <v>0</v>
      </c>
      <c r="DE51" s="16"/>
      <c r="DF51" s="16" t="s">
        <v>90</v>
      </c>
      <c r="DG51" s="16"/>
      <c r="DH51" s="16">
        <v>7000</v>
      </c>
      <c r="DI51" s="16">
        <f t="shared" si="46"/>
        <v>0</v>
      </c>
      <c r="DJ51" s="20"/>
      <c r="DK51" s="20" t="s">
        <v>57</v>
      </c>
      <c r="DL51" s="20"/>
      <c r="DM51" s="20">
        <v>4000</v>
      </c>
      <c r="DN51" s="16">
        <f t="shared" si="47"/>
        <v>0</v>
      </c>
      <c r="DO51" s="20"/>
      <c r="DP51" s="16" t="s">
        <v>105</v>
      </c>
      <c r="DQ51" s="27"/>
      <c r="DR51" s="19">
        <v>700</v>
      </c>
      <c r="DS51" s="16">
        <f t="shared" si="48"/>
        <v>0</v>
      </c>
      <c r="DT51" s="20"/>
      <c r="DU51" s="20" t="s">
        <v>93</v>
      </c>
      <c r="DV51" s="20"/>
      <c r="DW51" s="20">
        <v>250</v>
      </c>
      <c r="DX51" s="24">
        <f t="shared" si="49"/>
        <v>0</v>
      </c>
    </row>
    <row r="52" spans="1:128" s="2" customFormat="1" x14ac:dyDescent="0.3">
      <c r="A52" s="20"/>
      <c r="B52" s="16" t="str">
        <f>BM38</f>
        <v>MARWA</v>
      </c>
      <c r="C52" s="16">
        <f>BP67</f>
        <v>0</v>
      </c>
      <c r="D52" s="17"/>
      <c r="E52" s="20" t="s">
        <v>179</v>
      </c>
      <c r="F52" s="17"/>
      <c r="G52" s="17">
        <v>35000</v>
      </c>
      <c r="H52" s="16">
        <f t="shared" si="26"/>
        <v>0</v>
      </c>
      <c r="I52" s="19"/>
      <c r="J52" s="16" t="s">
        <v>233</v>
      </c>
      <c r="K52" s="19"/>
      <c r="L52" s="19">
        <v>250</v>
      </c>
      <c r="M52" s="16">
        <f t="shared" si="27"/>
        <v>0</v>
      </c>
      <c r="N52" s="17"/>
      <c r="O52" s="20" t="s">
        <v>339</v>
      </c>
      <c r="P52" s="21"/>
      <c r="Q52" s="19">
        <v>7000</v>
      </c>
      <c r="R52" s="16">
        <f t="shared" si="28"/>
        <v>0</v>
      </c>
      <c r="S52" s="20"/>
      <c r="T52" s="20" t="s">
        <v>305</v>
      </c>
      <c r="U52" s="20"/>
      <c r="V52" s="20">
        <v>15000</v>
      </c>
      <c r="W52" s="16">
        <f t="shared" si="29"/>
        <v>0</v>
      </c>
      <c r="X52" s="16"/>
      <c r="Y52" s="16"/>
      <c r="Z52" s="16"/>
      <c r="AA52" s="16"/>
      <c r="AB52" s="16">
        <f t="shared" si="30"/>
        <v>0</v>
      </c>
      <c r="AC52" s="20"/>
      <c r="AD52" s="20" t="s">
        <v>47</v>
      </c>
      <c r="AE52" s="20"/>
      <c r="AF52" s="16">
        <v>4400</v>
      </c>
      <c r="AG52" s="16">
        <f t="shared" si="31"/>
        <v>0</v>
      </c>
      <c r="AH52" s="16"/>
      <c r="AI52" s="16" t="s">
        <v>90</v>
      </c>
      <c r="AJ52" s="22"/>
      <c r="AK52" s="19">
        <v>7000</v>
      </c>
      <c r="AL52" s="16">
        <f t="shared" si="32"/>
        <v>0</v>
      </c>
      <c r="AM52" s="16"/>
      <c r="AN52" s="16" t="s">
        <v>340</v>
      </c>
      <c r="AO52" s="16"/>
      <c r="AP52" s="16">
        <v>9000</v>
      </c>
      <c r="AQ52" s="16">
        <f t="shared" si="33"/>
        <v>0</v>
      </c>
      <c r="AR52" s="16"/>
      <c r="AS52" s="16" t="s">
        <v>341</v>
      </c>
      <c r="AT52" s="16"/>
      <c r="AU52" s="16">
        <v>5000</v>
      </c>
      <c r="AV52" s="16">
        <f t="shared" si="34"/>
        <v>0</v>
      </c>
      <c r="AW52" s="16"/>
      <c r="AX52" s="16" t="s">
        <v>126</v>
      </c>
      <c r="AY52" s="16">
        <v>2</v>
      </c>
      <c r="AZ52" s="16">
        <v>10000</v>
      </c>
      <c r="BA52" s="16">
        <f t="shared" si="35"/>
        <v>20000</v>
      </c>
      <c r="BB52" s="20"/>
      <c r="BC52" s="20" t="s">
        <v>225</v>
      </c>
      <c r="BD52" s="17">
        <v>20</v>
      </c>
      <c r="BE52" s="17">
        <v>3900</v>
      </c>
      <c r="BF52" s="16">
        <f t="shared" si="36"/>
        <v>78000</v>
      </c>
      <c r="BG52" s="20"/>
      <c r="BH52" s="20" t="s">
        <v>342</v>
      </c>
      <c r="BI52" s="20"/>
      <c r="BJ52" s="20">
        <v>35000</v>
      </c>
      <c r="BK52" s="16">
        <f t="shared" si="37"/>
        <v>0</v>
      </c>
      <c r="BL52" s="16"/>
      <c r="BM52" s="16" t="s">
        <v>343</v>
      </c>
      <c r="BN52" s="16"/>
      <c r="BO52" s="16">
        <v>250</v>
      </c>
      <c r="BP52" s="16">
        <f t="shared" si="38"/>
        <v>0</v>
      </c>
      <c r="BQ52" s="16"/>
      <c r="BR52" s="16"/>
      <c r="BS52" s="16"/>
      <c r="BT52" s="16"/>
      <c r="BU52" s="16">
        <f t="shared" si="50"/>
        <v>0</v>
      </c>
      <c r="BV52" s="16"/>
      <c r="BW52" s="16"/>
      <c r="BX52" s="16"/>
      <c r="BY52" s="16"/>
      <c r="BZ52" s="20">
        <f t="shared" si="39"/>
        <v>0</v>
      </c>
      <c r="CA52" s="16"/>
      <c r="CB52" s="16"/>
      <c r="CC52" s="16"/>
      <c r="CD52" s="16"/>
      <c r="CE52" s="16">
        <f t="shared" si="40"/>
        <v>0</v>
      </c>
      <c r="CF52" s="16">
        <v>13</v>
      </c>
      <c r="CG52" s="16" t="s">
        <v>312</v>
      </c>
      <c r="CH52" s="16"/>
      <c r="CI52" s="23">
        <v>12000</v>
      </c>
      <c r="CJ52" s="23">
        <f t="shared" si="41"/>
        <v>0</v>
      </c>
      <c r="CK52" s="20"/>
      <c r="CL52" s="20"/>
      <c r="CM52" s="20"/>
      <c r="CN52" s="20"/>
      <c r="CO52" s="23">
        <f t="shared" si="42"/>
        <v>0</v>
      </c>
      <c r="CP52" s="16"/>
      <c r="CQ52" s="16" t="s">
        <v>107</v>
      </c>
      <c r="CR52" s="16"/>
      <c r="CS52" s="16">
        <v>10000</v>
      </c>
      <c r="CT52" s="23">
        <f t="shared" si="43"/>
        <v>0</v>
      </c>
      <c r="CU52" s="20"/>
      <c r="CV52" s="20" t="s">
        <v>131</v>
      </c>
      <c r="CW52" s="20"/>
      <c r="CX52" s="20">
        <v>250</v>
      </c>
      <c r="CY52" s="23">
        <f t="shared" si="51"/>
        <v>0</v>
      </c>
      <c r="CZ52" s="20"/>
      <c r="DA52" s="20" t="s">
        <v>69</v>
      </c>
      <c r="DB52" s="20"/>
      <c r="DC52" s="20">
        <v>1000</v>
      </c>
      <c r="DD52" s="23">
        <f t="shared" si="45"/>
        <v>0</v>
      </c>
      <c r="DE52" s="16"/>
      <c r="DF52" s="20" t="s">
        <v>198</v>
      </c>
      <c r="DG52" s="20"/>
      <c r="DH52" s="20">
        <v>22000</v>
      </c>
      <c r="DI52" s="16">
        <f t="shared" si="46"/>
        <v>0</v>
      </c>
      <c r="DJ52" s="20"/>
      <c r="DK52" s="20" t="s">
        <v>344</v>
      </c>
      <c r="DL52" s="20"/>
      <c r="DM52" s="20">
        <v>6500</v>
      </c>
      <c r="DN52" s="16">
        <f t="shared" si="47"/>
        <v>0</v>
      </c>
      <c r="DO52" s="20"/>
      <c r="DP52" s="20" t="s">
        <v>240</v>
      </c>
      <c r="DQ52" s="20"/>
      <c r="DR52" s="20">
        <v>25000</v>
      </c>
      <c r="DS52" s="16">
        <f t="shared" si="48"/>
        <v>0</v>
      </c>
      <c r="DT52" s="20"/>
      <c r="DU52" s="20" t="s">
        <v>135</v>
      </c>
      <c r="DV52" s="20"/>
      <c r="DW52" s="20">
        <v>6500</v>
      </c>
      <c r="DX52" s="24">
        <f t="shared" si="49"/>
        <v>0</v>
      </c>
    </row>
    <row r="53" spans="1:128" s="2" customFormat="1" x14ac:dyDescent="0.3">
      <c r="A53" s="20"/>
      <c r="B53" s="16" t="str">
        <f>BR38</f>
        <v xml:space="preserve">HK </v>
      </c>
      <c r="C53" s="16">
        <f>BU67</f>
        <v>0</v>
      </c>
      <c r="D53" s="17"/>
      <c r="E53" s="20" t="s">
        <v>345</v>
      </c>
      <c r="F53" s="17"/>
      <c r="G53" s="17">
        <v>85000</v>
      </c>
      <c r="H53" s="16">
        <f t="shared" si="26"/>
        <v>0</v>
      </c>
      <c r="I53" s="19"/>
      <c r="J53" s="16" t="s">
        <v>346</v>
      </c>
      <c r="K53" s="19"/>
      <c r="L53" s="19">
        <v>350</v>
      </c>
      <c r="M53" s="16">
        <f t="shared" si="27"/>
        <v>0</v>
      </c>
      <c r="N53" s="17"/>
      <c r="O53" s="20" t="s">
        <v>347</v>
      </c>
      <c r="P53" s="21"/>
      <c r="Q53" s="19">
        <v>15000</v>
      </c>
      <c r="R53" s="16">
        <f t="shared" si="28"/>
        <v>0</v>
      </c>
      <c r="S53" s="20"/>
      <c r="T53" s="20" t="s">
        <v>133</v>
      </c>
      <c r="U53" s="20"/>
      <c r="V53" s="20">
        <v>250</v>
      </c>
      <c r="W53" s="16">
        <f t="shared" si="29"/>
        <v>0</v>
      </c>
      <c r="X53" s="16"/>
      <c r="Y53" s="16"/>
      <c r="Z53" s="16"/>
      <c r="AA53" s="16"/>
      <c r="AB53" s="16">
        <f t="shared" si="30"/>
        <v>0</v>
      </c>
      <c r="AC53" s="20"/>
      <c r="AD53" s="20" t="s">
        <v>200</v>
      </c>
      <c r="AE53" s="20"/>
      <c r="AF53" s="16">
        <v>2100</v>
      </c>
      <c r="AG53" s="16">
        <f t="shared" si="31"/>
        <v>0</v>
      </c>
      <c r="AH53" s="16"/>
      <c r="AI53" s="16" t="s">
        <v>348</v>
      </c>
      <c r="AJ53" s="22"/>
      <c r="AK53" s="19">
        <v>250</v>
      </c>
      <c r="AL53" s="16">
        <f t="shared" si="32"/>
        <v>0</v>
      </c>
      <c r="AM53" s="16"/>
      <c r="AN53" s="16" t="s">
        <v>146</v>
      </c>
      <c r="AO53" s="16"/>
      <c r="AP53" s="16">
        <v>7000</v>
      </c>
      <c r="AQ53" s="16">
        <f t="shared" si="33"/>
        <v>0</v>
      </c>
      <c r="AR53" s="16"/>
      <c r="AS53" s="16" t="s">
        <v>257</v>
      </c>
      <c r="AT53" s="16"/>
      <c r="AU53" s="16">
        <v>5000</v>
      </c>
      <c r="AV53" s="16">
        <f t="shared" si="34"/>
        <v>0</v>
      </c>
      <c r="AW53" s="16"/>
      <c r="AX53" s="16" t="s">
        <v>69</v>
      </c>
      <c r="AY53" s="16"/>
      <c r="AZ53" s="16">
        <v>1000</v>
      </c>
      <c r="BA53" s="16">
        <f t="shared" si="35"/>
        <v>0</v>
      </c>
      <c r="BB53" s="20"/>
      <c r="BC53" s="20" t="s">
        <v>147</v>
      </c>
      <c r="BD53" s="17">
        <v>20</v>
      </c>
      <c r="BE53" s="17">
        <v>250</v>
      </c>
      <c r="BF53" s="16">
        <f t="shared" si="36"/>
        <v>5000</v>
      </c>
      <c r="BG53" s="20"/>
      <c r="BH53" s="20" t="s">
        <v>53</v>
      </c>
      <c r="BI53" s="20"/>
      <c r="BJ53" s="20">
        <v>1000</v>
      </c>
      <c r="BK53" s="16">
        <f t="shared" si="37"/>
        <v>0</v>
      </c>
      <c r="BL53" s="16"/>
      <c r="BM53" s="16" t="s">
        <v>301</v>
      </c>
      <c r="BN53" s="16"/>
      <c r="BO53" s="16">
        <v>35000</v>
      </c>
      <c r="BP53" s="16">
        <f t="shared" si="38"/>
        <v>0</v>
      </c>
      <c r="BQ53" s="16"/>
      <c r="BR53" s="16" t="s">
        <v>43</v>
      </c>
      <c r="BS53" s="16"/>
      <c r="BT53" s="16">
        <v>1550</v>
      </c>
      <c r="BU53" s="16">
        <f t="shared" si="50"/>
        <v>0</v>
      </c>
      <c r="BV53" s="16"/>
      <c r="BW53" s="16"/>
      <c r="BX53" s="16"/>
      <c r="BY53" s="16"/>
      <c r="BZ53" s="2">
        <f t="shared" si="39"/>
        <v>0</v>
      </c>
      <c r="CA53" s="16"/>
      <c r="CB53" s="16"/>
      <c r="CC53" s="16"/>
      <c r="CD53" s="16"/>
      <c r="CE53" s="16">
        <f t="shared" si="40"/>
        <v>0</v>
      </c>
      <c r="CF53" s="16">
        <v>14</v>
      </c>
      <c r="CG53" s="16" t="s">
        <v>122</v>
      </c>
      <c r="CH53" s="16"/>
      <c r="CI53" s="23">
        <v>2000</v>
      </c>
      <c r="CJ53" s="23">
        <f t="shared" si="41"/>
        <v>0</v>
      </c>
      <c r="CK53" s="20"/>
      <c r="CL53" s="20"/>
      <c r="CM53" s="20"/>
      <c r="CN53" s="20"/>
      <c r="CO53" s="23">
        <f t="shared" si="42"/>
        <v>0</v>
      </c>
      <c r="CP53" s="16"/>
      <c r="CQ53" s="16" t="s">
        <v>102</v>
      </c>
      <c r="CR53" s="16"/>
      <c r="CS53" s="16">
        <v>1550</v>
      </c>
      <c r="CT53" s="23">
        <f t="shared" si="43"/>
        <v>0</v>
      </c>
      <c r="CU53" s="20"/>
      <c r="CV53" s="20" t="s">
        <v>349</v>
      </c>
      <c r="CW53" s="20"/>
      <c r="CX53" s="20">
        <v>250</v>
      </c>
      <c r="CY53" s="23">
        <f t="shared" si="51"/>
        <v>0</v>
      </c>
      <c r="CZ53" s="20"/>
      <c r="DA53" s="20" t="s">
        <v>53</v>
      </c>
      <c r="DB53" s="20"/>
      <c r="DC53" s="20">
        <v>1000</v>
      </c>
      <c r="DD53" s="23">
        <f t="shared" si="45"/>
        <v>0</v>
      </c>
      <c r="DE53" s="16"/>
      <c r="DF53" s="16" t="s">
        <v>331</v>
      </c>
      <c r="DG53" s="16"/>
      <c r="DH53" s="16">
        <v>2000</v>
      </c>
      <c r="DI53" s="16">
        <f t="shared" si="46"/>
        <v>0</v>
      </c>
      <c r="DJ53" s="20"/>
      <c r="DK53" s="20" t="s">
        <v>88</v>
      </c>
      <c r="DL53" s="20"/>
      <c r="DM53" s="20">
        <v>350</v>
      </c>
      <c r="DN53" s="16">
        <f t="shared" si="47"/>
        <v>0</v>
      </c>
      <c r="DO53" s="20"/>
      <c r="DP53" s="20" t="s">
        <v>90</v>
      </c>
      <c r="DQ53" s="20"/>
      <c r="DR53" s="20">
        <v>7000</v>
      </c>
      <c r="DS53" s="16">
        <f t="shared" si="48"/>
        <v>0</v>
      </c>
      <c r="DT53" s="20"/>
      <c r="DU53" s="20" t="s">
        <v>350</v>
      </c>
      <c r="DV53" s="20"/>
      <c r="DW53" s="20">
        <v>250</v>
      </c>
      <c r="DX53" s="24">
        <f t="shared" si="49"/>
        <v>0</v>
      </c>
    </row>
    <row r="54" spans="1:128" s="2" customFormat="1" x14ac:dyDescent="0.3">
      <c r="A54" s="20"/>
      <c r="B54" s="16" t="str">
        <f>BW38</f>
        <v>LAUNDRY</v>
      </c>
      <c r="C54" s="16">
        <f>BZ67</f>
        <v>473300</v>
      </c>
      <c r="D54" s="17"/>
      <c r="E54" s="20" t="s">
        <v>152</v>
      </c>
      <c r="F54" s="17"/>
      <c r="G54" s="17">
        <v>3000</v>
      </c>
      <c r="H54" s="16">
        <f t="shared" si="26"/>
        <v>0</v>
      </c>
      <c r="I54" s="19"/>
      <c r="J54" s="16" t="s">
        <v>351</v>
      </c>
      <c r="K54" s="19"/>
      <c r="L54" s="19">
        <v>250</v>
      </c>
      <c r="M54" s="16">
        <f t="shared" si="27"/>
        <v>0</v>
      </c>
      <c r="N54" s="17"/>
      <c r="O54" s="20" t="s">
        <v>352</v>
      </c>
      <c r="P54" s="21"/>
      <c r="Q54" s="19">
        <v>20000</v>
      </c>
      <c r="R54" s="16">
        <f t="shared" si="28"/>
        <v>0</v>
      </c>
      <c r="S54" s="20"/>
      <c r="T54" s="20" t="s">
        <v>342</v>
      </c>
      <c r="U54" s="20"/>
      <c r="V54" s="20">
        <v>35000</v>
      </c>
      <c r="W54" s="16">
        <f t="shared" si="29"/>
        <v>0</v>
      </c>
      <c r="X54" s="16"/>
      <c r="Y54" s="16"/>
      <c r="Z54" s="16"/>
      <c r="AA54" s="16"/>
      <c r="AB54" s="16">
        <f t="shared" si="30"/>
        <v>0</v>
      </c>
      <c r="AC54" s="20"/>
      <c r="AD54" s="20" t="s">
        <v>210</v>
      </c>
      <c r="AE54" s="20"/>
      <c r="AF54" s="16">
        <v>2600</v>
      </c>
      <c r="AG54" s="16">
        <f t="shared" si="31"/>
        <v>0</v>
      </c>
      <c r="AH54" s="16"/>
      <c r="AI54" s="16" t="s">
        <v>107</v>
      </c>
      <c r="AJ54" s="22"/>
      <c r="AK54" s="19">
        <v>11000</v>
      </c>
      <c r="AL54" s="16">
        <f t="shared" si="32"/>
        <v>0</v>
      </c>
      <c r="AM54" s="16"/>
      <c r="AN54" s="16"/>
      <c r="AO54" s="16"/>
      <c r="AP54" s="16"/>
      <c r="AQ54" s="16">
        <f t="shared" si="33"/>
        <v>0</v>
      </c>
      <c r="AR54" s="16"/>
      <c r="AS54" s="16" t="s">
        <v>179</v>
      </c>
      <c r="AT54" s="16"/>
      <c r="AU54" s="16">
        <v>35000</v>
      </c>
      <c r="AV54" s="16">
        <f t="shared" si="34"/>
        <v>0</v>
      </c>
      <c r="AW54" s="16"/>
      <c r="AX54" s="16" t="s">
        <v>353</v>
      </c>
      <c r="AY54" s="16"/>
      <c r="AZ54" s="16">
        <v>250</v>
      </c>
      <c r="BA54" s="16">
        <f t="shared" si="35"/>
        <v>0</v>
      </c>
      <c r="BB54" s="20"/>
      <c r="BC54" s="20" t="s">
        <v>123</v>
      </c>
      <c r="BD54" s="17">
        <v>20</v>
      </c>
      <c r="BE54" s="17">
        <v>250</v>
      </c>
      <c r="BF54" s="16">
        <f t="shared" si="36"/>
        <v>5000</v>
      </c>
      <c r="BG54" s="20"/>
      <c r="BH54" s="20" t="s">
        <v>131</v>
      </c>
      <c r="BI54" s="20"/>
      <c r="BJ54" s="20">
        <v>250</v>
      </c>
      <c r="BK54" s="16">
        <f t="shared" si="37"/>
        <v>0</v>
      </c>
      <c r="BL54" s="16"/>
      <c r="BM54" s="16" t="s">
        <v>354</v>
      </c>
      <c r="BN54" s="16"/>
      <c r="BO54" s="16">
        <v>250</v>
      </c>
      <c r="BP54" s="16">
        <f t="shared" si="38"/>
        <v>0</v>
      </c>
      <c r="BQ54" s="16"/>
      <c r="BR54" s="16" t="s">
        <v>178</v>
      </c>
      <c r="BS54" s="16"/>
      <c r="BT54" s="16">
        <v>250</v>
      </c>
      <c r="BU54" s="16">
        <f t="shared" si="50"/>
        <v>0</v>
      </c>
      <c r="BV54" s="16"/>
      <c r="BW54" s="16"/>
      <c r="BX54" s="16"/>
      <c r="BY54" s="16"/>
      <c r="BZ54" s="2">
        <f t="shared" si="39"/>
        <v>0</v>
      </c>
      <c r="CA54" s="16"/>
      <c r="CB54" s="16"/>
      <c r="CC54" s="16"/>
      <c r="CD54" s="16"/>
      <c r="CE54" s="16">
        <f t="shared" si="40"/>
        <v>0</v>
      </c>
      <c r="CF54" s="16">
        <v>15</v>
      </c>
      <c r="CG54" s="16" t="s">
        <v>68</v>
      </c>
      <c r="CH54" s="16"/>
      <c r="CI54" s="23">
        <v>9000</v>
      </c>
      <c r="CJ54" s="23">
        <f t="shared" si="41"/>
        <v>0</v>
      </c>
      <c r="CK54" s="20"/>
      <c r="CL54" s="20"/>
      <c r="CM54" s="20"/>
      <c r="CN54" s="20"/>
      <c r="CO54" s="23">
        <f t="shared" si="42"/>
        <v>0</v>
      </c>
      <c r="CP54" s="16"/>
      <c r="CQ54" s="16" t="s">
        <v>355</v>
      </c>
      <c r="CR54" s="16"/>
      <c r="CS54" s="16">
        <v>2000</v>
      </c>
      <c r="CT54" s="23">
        <f t="shared" si="43"/>
        <v>0</v>
      </c>
      <c r="CU54" s="20"/>
      <c r="CV54" s="20" t="s">
        <v>356</v>
      </c>
      <c r="CW54" s="20"/>
      <c r="CX54" s="20">
        <v>250</v>
      </c>
      <c r="CY54" s="23">
        <f t="shared" si="51"/>
        <v>0</v>
      </c>
      <c r="CZ54" s="20"/>
      <c r="DA54" s="20" t="s">
        <v>235</v>
      </c>
      <c r="DB54" s="20"/>
      <c r="DC54" s="20">
        <v>22000</v>
      </c>
      <c r="DD54" s="23">
        <f t="shared" si="45"/>
        <v>0</v>
      </c>
      <c r="DE54" s="16"/>
      <c r="DF54" s="16" t="s">
        <v>206</v>
      </c>
      <c r="DG54" s="16"/>
      <c r="DH54" s="16">
        <v>2000</v>
      </c>
      <c r="DI54" s="16">
        <f t="shared" si="46"/>
        <v>0</v>
      </c>
      <c r="DJ54" s="20"/>
      <c r="DK54" s="20" t="s">
        <v>83</v>
      </c>
      <c r="DL54" s="20"/>
      <c r="DM54" s="20">
        <v>450</v>
      </c>
      <c r="DN54" s="16">
        <f t="shared" si="47"/>
        <v>0</v>
      </c>
      <c r="DO54" s="20"/>
      <c r="DP54" s="20" t="s">
        <v>161</v>
      </c>
      <c r="DQ54" s="20"/>
      <c r="DR54" s="20">
        <v>15000</v>
      </c>
      <c r="DS54" s="16">
        <f t="shared" si="48"/>
        <v>0</v>
      </c>
      <c r="DT54" s="20"/>
      <c r="DU54" s="20" t="s">
        <v>342</v>
      </c>
      <c r="DV54" s="20"/>
      <c r="DW54" s="20">
        <v>35000</v>
      </c>
      <c r="DX54" s="24">
        <f t="shared" si="49"/>
        <v>0</v>
      </c>
    </row>
    <row r="55" spans="1:128" s="2" customFormat="1" x14ac:dyDescent="0.3">
      <c r="A55" s="20"/>
      <c r="B55" s="16" t="str">
        <f>CB38</f>
        <v>LOGISTIK</v>
      </c>
      <c r="C55" s="16">
        <f>CE67</f>
        <v>0</v>
      </c>
      <c r="D55" s="17"/>
      <c r="E55" s="20" t="s">
        <v>299</v>
      </c>
      <c r="F55" s="17"/>
      <c r="G55" s="17">
        <v>11000</v>
      </c>
      <c r="H55" s="16">
        <f t="shared" si="26"/>
        <v>0</v>
      </c>
      <c r="I55" s="19"/>
      <c r="J55" s="16" t="s">
        <v>231</v>
      </c>
      <c r="K55" s="19"/>
      <c r="L55" s="19">
        <v>4000</v>
      </c>
      <c r="M55" s="16">
        <f t="shared" si="27"/>
        <v>0</v>
      </c>
      <c r="N55" s="17"/>
      <c r="O55" s="20" t="s">
        <v>357</v>
      </c>
      <c r="P55" s="21"/>
      <c r="Q55" s="19">
        <v>17000</v>
      </c>
      <c r="R55" s="16">
        <f t="shared" si="28"/>
        <v>0</v>
      </c>
      <c r="S55" s="20"/>
      <c r="T55" s="16" t="s">
        <v>189</v>
      </c>
      <c r="U55" s="16"/>
      <c r="V55" s="16">
        <v>17000</v>
      </c>
      <c r="W55" s="16">
        <f t="shared" si="29"/>
        <v>0</v>
      </c>
      <c r="X55" s="16"/>
      <c r="Y55" s="16"/>
      <c r="Z55" s="16"/>
      <c r="AA55" s="16"/>
      <c r="AB55" s="16">
        <f t="shared" si="30"/>
        <v>0</v>
      </c>
      <c r="AC55" s="20"/>
      <c r="AD55" s="20" t="s">
        <v>219</v>
      </c>
      <c r="AE55" s="20"/>
      <c r="AF55" s="16">
        <v>4900</v>
      </c>
      <c r="AG55" s="16">
        <f t="shared" si="31"/>
        <v>0</v>
      </c>
      <c r="AH55" s="16"/>
      <c r="AI55" s="16" t="s">
        <v>358</v>
      </c>
      <c r="AJ55" s="22"/>
      <c r="AK55" s="19">
        <v>15000</v>
      </c>
      <c r="AL55" s="16">
        <f t="shared" si="32"/>
        <v>0</v>
      </c>
      <c r="AM55" s="16"/>
      <c r="AN55" s="16"/>
      <c r="AO55" s="16"/>
      <c r="AP55" s="16"/>
      <c r="AQ55" s="16">
        <f t="shared" si="33"/>
        <v>0</v>
      </c>
      <c r="AR55" s="16"/>
      <c r="AS55" s="16" t="s">
        <v>359</v>
      </c>
      <c r="AT55" s="16"/>
      <c r="AU55" s="16">
        <v>5000</v>
      </c>
      <c r="AV55" s="16">
        <f t="shared" si="34"/>
        <v>0</v>
      </c>
      <c r="AW55" s="16"/>
      <c r="AX55" s="16" t="s">
        <v>146</v>
      </c>
      <c r="AY55" s="16"/>
      <c r="AZ55" s="16">
        <v>7000</v>
      </c>
      <c r="BA55" s="16">
        <f t="shared" si="35"/>
        <v>0</v>
      </c>
      <c r="BB55" s="20"/>
      <c r="BC55" s="20" t="s">
        <v>279</v>
      </c>
      <c r="BD55" s="17"/>
      <c r="BE55" s="17">
        <v>4000</v>
      </c>
      <c r="BF55" s="16">
        <f t="shared" si="36"/>
        <v>0</v>
      </c>
      <c r="BG55" s="20"/>
      <c r="BH55" s="20" t="s">
        <v>90</v>
      </c>
      <c r="BI55" s="20"/>
      <c r="BJ55" s="20">
        <v>7000</v>
      </c>
      <c r="BK55" s="16">
        <f t="shared" si="37"/>
        <v>0</v>
      </c>
      <c r="BL55" s="16"/>
      <c r="BM55" s="20" t="s">
        <v>342</v>
      </c>
      <c r="BN55" s="20"/>
      <c r="BO55" s="20">
        <v>35000</v>
      </c>
      <c r="BP55" s="16">
        <f t="shared" si="38"/>
        <v>0</v>
      </c>
      <c r="BQ55" s="16"/>
      <c r="BR55" s="16" t="s">
        <v>360</v>
      </c>
      <c r="BS55" s="16"/>
      <c r="BT55" s="16">
        <v>10000</v>
      </c>
      <c r="BU55" s="16">
        <f t="shared" si="50"/>
        <v>0</v>
      </c>
      <c r="BV55" s="16"/>
      <c r="BW55" s="16"/>
      <c r="BX55" s="16"/>
      <c r="BY55" s="16"/>
      <c r="BZ55" s="2">
        <f t="shared" si="39"/>
        <v>0</v>
      </c>
      <c r="CA55" s="16"/>
      <c r="CB55" s="16"/>
      <c r="CC55" s="16"/>
      <c r="CD55" s="16"/>
      <c r="CE55" s="16">
        <f t="shared" si="40"/>
        <v>0</v>
      </c>
      <c r="CF55" s="16"/>
      <c r="CG55" s="16" t="s">
        <v>361</v>
      </c>
      <c r="CH55" s="16"/>
      <c r="CI55" s="16">
        <v>8000</v>
      </c>
      <c r="CJ55" s="23">
        <f t="shared" si="41"/>
        <v>0</v>
      </c>
      <c r="CK55" s="20"/>
      <c r="CL55" s="20"/>
      <c r="CM55" s="20"/>
      <c r="CN55" s="20"/>
      <c r="CO55" s="23">
        <f t="shared" si="42"/>
        <v>0</v>
      </c>
      <c r="CP55" s="16"/>
      <c r="CQ55" s="16" t="s">
        <v>362</v>
      </c>
      <c r="CR55" s="16"/>
      <c r="CS55" s="16">
        <v>85000</v>
      </c>
      <c r="CT55" s="23">
        <f t="shared" si="43"/>
        <v>0</v>
      </c>
      <c r="CU55" s="20"/>
      <c r="CV55" s="20" t="s">
        <v>324</v>
      </c>
      <c r="CW55" s="20"/>
      <c r="CX55" s="20">
        <v>15000</v>
      </c>
      <c r="CY55" s="23">
        <f t="shared" si="51"/>
        <v>0</v>
      </c>
      <c r="CZ55" s="20"/>
      <c r="DA55" s="20" t="s">
        <v>53</v>
      </c>
      <c r="DB55" s="20"/>
      <c r="DC55" s="20">
        <v>1000</v>
      </c>
      <c r="DD55" s="23">
        <f t="shared" si="45"/>
        <v>0</v>
      </c>
      <c r="DE55" s="16"/>
      <c r="DF55" s="16" t="s">
        <v>363</v>
      </c>
      <c r="DG55" s="16"/>
      <c r="DH55" s="16">
        <v>5000</v>
      </c>
      <c r="DI55" s="16">
        <f t="shared" si="46"/>
        <v>0</v>
      </c>
      <c r="DJ55" s="20"/>
      <c r="DK55" s="20" t="s">
        <v>152</v>
      </c>
      <c r="DL55" s="20"/>
      <c r="DM55" s="20">
        <v>3000</v>
      </c>
      <c r="DN55" s="16">
        <f t="shared" si="47"/>
        <v>0</v>
      </c>
      <c r="DO55" s="20"/>
      <c r="DP55" s="20" t="s">
        <v>107</v>
      </c>
      <c r="DQ55" s="20"/>
      <c r="DR55" s="20">
        <v>11000</v>
      </c>
      <c r="DS55" s="16">
        <f t="shared" si="48"/>
        <v>0</v>
      </c>
      <c r="DT55" s="20"/>
      <c r="DU55" s="20" t="s">
        <v>364</v>
      </c>
      <c r="DV55" s="20"/>
      <c r="DW55" s="20">
        <v>250</v>
      </c>
      <c r="DX55" s="24">
        <f t="shared" si="49"/>
        <v>0</v>
      </c>
    </row>
    <row r="56" spans="1:128" s="2" customFormat="1" x14ac:dyDescent="0.3">
      <c r="A56" s="20"/>
      <c r="B56" s="16" t="str">
        <f>CG38</f>
        <v>ASURANSI</v>
      </c>
      <c r="C56" s="16">
        <f>CJ67</f>
        <v>751550</v>
      </c>
      <c r="D56" s="17"/>
      <c r="E56" s="20" t="s">
        <v>68</v>
      </c>
      <c r="F56" s="17"/>
      <c r="G56" s="17">
        <v>9000</v>
      </c>
      <c r="H56" s="16">
        <f t="shared" si="26"/>
        <v>0</v>
      </c>
      <c r="I56" s="19"/>
      <c r="J56" s="16" t="s">
        <v>235</v>
      </c>
      <c r="K56" s="19"/>
      <c r="L56" s="19">
        <v>22000</v>
      </c>
      <c r="M56" s="16">
        <f t="shared" si="27"/>
        <v>0</v>
      </c>
      <c r="N56" s="17"/>
      <c r="O56" s="20" t="s">
        <v>208</v>
      </c>
      <c r="P56" s="21"/>
      <c r="Q56" s="19">
        <v>250</v>
      </c>
      <c r="R56" s="16">
        <f t="shared" si="28"/>
        <v>0</v>
      </c>
      <c r="S56" s="20"/>
      <c r="T56" s="20" t="s">
        <v>365</v>
      </c>
      <c r="U56" s="20"/>
      <c r="V56" s="16">
        <v>250</v>
      </c>
      <c r="W56" s="16">
        <f t="shared" si="29"/>
        <v>0</v>
      </c>
      <c r="X56" s="16"/>
      <c r="Y56" s="16"/>
      <c r="Z56" s="16"/>
      <c r="AA56" s="16"/>
      <c r="AB56" s="16">
        <f t="shared" si="30"/>
        <v>0</v>
      </c>
      <c r="AC56" s="20"/>
      <c r="AD56" s="20" t="s">
        <v>229</v>
      </c>
      <c r="AE56" s="20"/>
      <c r="AF56" s="20">
        <v>12500</v>
      </c>
      <c r="AG56" s="16">
        <f t="shared" si="31"/>
        <v>0</v>
      </c>
      <c r="AH56" s="16"/>
      <c r="AI56" s="16" t="s">
        <v>202</v>
      </c>
      <c r="AJ56" s="22"/>
      <c r="AK56" s="19">
        <v>15000</v>
      </c>
      <c r="AL56" s="16">
        <f t="shared" si="32"/>
        <v>0</v>
      </c>
      <c r="AM56" s="16"/>
      <c r="AN56" s="16"/>
      <c r="AO56" s="16"/>
      <c r="AP56" s="16"/>
      <c r="AQ56" s="16">
        <f t="shared" si="33"/>
        <v>0</v>
      </c>
      <c r="AR56" s="16"/>
      <c r="AS56" s="16" t="s">
        <v>265</v>
      </c>
      <c r="AT56" s="16"/>
      <c r="AU56" s="16">
        <v>15000</v>
      </c>
      <c r="AV56" s="16">
        <f t="shared" si="34"/>
        <v>0</v>
      </c>
      <c r="AW56" s="16"/>
      <c r="AX56" s="16" t="s">
        <v>46</v>
      </c>
      <c r="AY56" s="16"/>
      <c r="AZ56" s="16">
        <v>14000</v>
      </c>
      <c r="BA56" s="16">
        <f t="shared" si="35"/>
        <v>0</v>
      </c>
      <c r="BB56" s="20"/>
      <c r="BC56" s="20" t="s">
        <v>366</v>
      </c>
      <c r="BD56" s="17">
        <v>15</v>
      </c>
      <c r="BE56" s="17">
        <v>350</v>
      </c>
      <c r="BF56" s="16">
        <f t="shared" si="36"/>
        <v>5250</v>
      </c>
      <c r="BG56" s="20"/>
      <c r="BH56" s="20" t="s">
        <v>367</v>
      </c>
      <c r="BI56" s="20"/>
      <c r="BJ56" s="20">
        <v>250</v>
      </c>
      <c r="BK56" s="16">
        <f t="shared" si="37"/>
        <v>0</v>
      </c>
      <c r="BL56" s="16"/>
      <c r="BM56" s="16" t="s">
        <v>221</v>
      </c>
      <c r="BN56" s="16"/>
      <c r="BO56" s="16">
        <v>12000</v>
      </c>
      <c r="BP56" s="16">
        <f t="shared" si="38"/>
        <v>0</v>
      </c>
      <c r="BQ56" s="16"/>
      <c r="BR56" s="16" t="s">
        <v>361</v>
      </c>
      <c r="BS56" s="16"/>
      <c r="BT56" s="16">
        <v>9700</v>
      </c>
      <c r="BU56" s="16">
        <f t="shared" si="50"/>
        <v>0</v>
      </c>
      <c r="BV56" s="16"/>
      <c r="BW56" s="16"/>
      <c r="BX56" s="16"/>
      <c r="BY56" s="16"/>
      <c r="BZ56" s="2">
        <f t="shared" si="39"/>
        <v>0</v>
      </c>
      <c r="CA56" s="16"/>
      <c r="CB56" s="16"/>
      <c r="CC56" s="16"/>
      <c r="CD56" s="16"/>
      <c r="CE56" s="16">
        <f t="shared" si="40"/>
        <v>0</v>
      </c>
      <c r="CF56" s="16"/>
      <c r="CG56" s="16" t="s">
        <v>195</v>
      </c>
      <c r="CH56" s="16"/>
      <c r="CI56" s="16">
        <v>1500</v>
      </c>
      <c r="CJ56" s="23">
        <f t="shared" si="41"/>
        <v>0</v>
      </c>
      <c r="CK56" s="20"/>
      <c r="CL56" s="20"/>
      <c r="CM56" s="20"/>
      <c r="CN56" s="20"/>
      <c r="CO56" s="23">
        <f t="shared" si="42"/>
        <v>0</v>
      </c>
      <c r="CP56" s="16"/>
      <c r="CQ56" s="16" t="s">
        <v>197</v>
      </c>
      <c r="CR56" s="16"/>
      <c r="CS56" s="16">
        <v>15000</v>
      </c>
      <c r="CT56" s="23">
        <f t="shared" si="43"/>
        <v>0</v>
      </c>
      <c r="CU56" s="20"/>
      <c r="CV56" s="20" t="s">
        <v>368</v>
      </c>
      <c r="CW56" s="20"/>
      <c r="CX56" s="20">
        <v>1000</v>
      </c>
      <c r="CY56" s="23">
        <f t="shared" si="51"/>
        <v>0</v>
      </c>
      <c r="CZ56" s="20"/>
      <c r="DA56" s="20" t="s">
        <v>69</v>
      </c>
      <c r="DB56" s="20"/>
      <c r="DC56" s="20">
        <v>1000</v>
      </c>
      <c r="DD56" s="23">
        <f t="shared" si="45"/>
        <v>0</v>
      </c>
      <c r="DE56" s="16"/>
      <c r="DF56" s="16" t="s">
        <v>178</v>
      </c>
      <c r="DG56" s="16"/>
      <c r="DH56" s="16">
        <v>250</v>
      </c>
      <c r="DI56" s="16">
        <f t="shared" si="46"/>
        <v>0</v>
      </c>
      <c r="DJ56" s="20"/>
      <c r="DK56" s="20" t="s">
        <v>54</v>
      </c>
      <c r="DL56" s="20"/>
      <c r="DM56" s="20">
        <v>450</v>
      </c>
      <c r="DN56" s="16">
        <f t="shared" si="47"/>
        <v>0</v>
      </c>
      <c r="DO56" s="20"/>
      <c r="DP56" s="20" t="s">
        <v>312</v>
      </c>
      <c r="DQ56" s="20"/>
      <c r="DR56" s="20">
        <v>12000</v>
      </c>
      <c r="DS56" s="16">
        <f t="shared" si="48"/>
        <v>0</v>
      </c>
      <c r="DT56" s="20"/>
      <c r="DU56" s="20" t="s">
        <v>264</v>
      </c>
      <c r="DV56" s="20"/>
      <c r="DW56" s="20">
        <v>5000</v>
      </c>
      <c r="DX56" s="24">
        <f t="shared" si="49"/>
        <v>0</v>
      </c>
    </row>
    <row r="57" spans="1:128" s="2" customFormat="1" x14ac:dyDescent="0.3">
      <c r="A57" s="20"/>
      <c r="B57" s="16" t="str">
        <f>CL38</f>
        <v>FISIOTERAPI</v>
      </c>
      <c r="C57" s="16">
        <f>CO67</f>
        <v>191850</v>
      </c>
      <c r="D57" s="17"/>
      <c r="E57" s="20" t="s">
        <v>50</v>
      </c>
      <c r="F57" s="17"/>
      <c r="G57" s="17">
        <v>26500</v>
      </c>
      <c r="H57" s="16">
        <f t="shared" si="26"/>
        <v>0</v>
      </c>
      <c r="I57" s="19"/>
      <c r="J57" s="16" t="s">
        <v>334</v>
      </c>
      <c r="K57" s="19"/>
      <c r="L57" s="19">
        <v>250</v>
      </c>
      <c r="M57" s="16">
        <f t="shared" si="27"/>
        <v>0</v>
      </c>
      <c r="N57" s="17"/>
      <c r="O57" s="20" t="s">
        <v>369</v>
      </c>
      <c r="P57" s="21"/>
      <c r="Q57" s="19">
        <v>250</v>
      </c>
      <c r="R57" s="16">
        <f t="shared" si="28"/>
        <v>0</v>
      </c>
      <c r="S57" s="20"/>
      <c r="T57" s="20" t="s">
        <v>51</v>
      </c>
      <c r="U57" s="20"/>
      <c r="V57" s="16">
        <v>100</v>
      </c>
      <c r="W57" s="16">
        <f t="shared" si="29"/>
        <v>0</v>
      </c>
      <c r="X57" s="16"/>
      <c r="Y57" s="16"/>
      <c r="Z57" s="16"/>
      <c r="AA57" s="16"/>
      <c r="AB57" s="16">
        <f t="shared" si="30"/>
        <v>0</v>
      </c>
      <c r="AC57" s="20"/>
      <c r="AD57" s="20" t="s">
        <v>236</v>
      </c>
      <c r="AE57" s="20"/>
      <c r="AF57" s="20">
        <v>25000</v>
      </c>
      <c r="AG57" s="16">
        <f t="shared" si="31"/>
        <v>0</v>
      </c>
      <c r="AH57" s="16"/>
      <c r="AI57" s="16" t="s">
        <v>70</v>
      </c>
      <c r="AJ57" s="22"/>
      <c r="AK57" s="19">
        <v>350</v>
      </c>
      <c r="AL57" s="16">
        <f t="shared" si="32"/>
        <v>0</v>
      </c>
      <c r="AM57" s="16"/>
      <c r="AN57" s="16"/>
      <c r="AO57" s="16"/>
      <c r="AP57" s="16"/>
      <c r="AQ57" s="16">
        <f t="shared" si="33"/>
        <v>0</v>
      </c>
      <c r="AR57" s="16"/>
      <c r="AS57" s="16" t="s">
        <v>370</v>
      </c>
      <c r="AT57" s="22"/>
      <c r="AU57" s="19">
        <v>2000</v>
      </c>
      <c r="AV57" s="16">
        <f t="shared" si="34"/>
        <v>0</v>
      </c>
      <c r="AW57" s="16"/>
      <c r="AX57" s="16" t="s">
        <v>64</v>
      </c>
      <c r="AY57" s="16">
        <v>2</v>
      </c>
      <c r="AZ57" s="16">
        <v>5000</v>
      </c>
      <c r="BA57" s="16">
        <f t="shared" si="35"/>
        <v>10000</v>
      </c>
      <c r="BB57" s="20"/>
      <c r="BC57" s="20" t="s">
        <v>181</v>
      </c>
      <c r="BD57" s="17"/>
      <c r="BE57" s="17">
        <v>350</v>
      </c>
      <c r="BF57" s="16">
        <f t="shared" si="36"/>
        <v>0</v>
      </c>
      <c r="BG57" s="20"/>
      <c r="BH57" s="20" t="s">
        <v>62</v>
      </c>
      <c r="BI57" s="20"/>
      <c r="BJ57" s="20">
        <v>7000</v>
      </c>
      <c r="BK57" s="16">
        <f t="shared" si="37"/>
        <v>0</v>
      </c>
      <c r="BL57" s="16"/>
      <c r="BM57" s="16" t="s">
        <v>193</v>
      </c>
      <c r="BN57" s="16"/>
      <c r="BO57" s="16">
        <v>20000</v>
      </c>
      <c r="BP57" s="16">
        <f t="shared" si="38"/>
        <v>0</v>
      </c>
      <c r="BQ57" s="16"/>
      <c r="BR57" s="16" t="s">
        <v>206</v>
      </c>
      <c r="BS57" s="16"/>
      <c r="BT57" s="16">
        <v>3500</v>
      </c>
      <c r="BU57" s="16">
        <f t="shared" si="50"/>
        <v>0</v>
      </c>
      <c r="BV57" s="16"/>
      <c r="BW57" s="16"/>
      <c r="BX57" s="16"/>
      <c r="BY57" s="16"/>
      <c r="BZ57" s="2">
        <f t="shared" si="39"/>
        <v>0</v>
      </c>
      <c r="CA57" s="16"/>
      <c r="CB57" s="16"/>
      <c r="CC57" s="16"/>
      <c r="CD57" s="16"/>
      <c r="CE57" s="16">
        <f t="shared" si="40"/>
        <v>0</v>
      </c>
      <c r="CF57" s="16"/>
      <c r="CG57" s="16" t="s">
        <v>189</v>
      </c>
      <c r="CH57" s="16"/>
      <c r="CI57" s="16">
        <v>17000</v>
      </c>
      <c r="CJ57" s="23">
        <f t="shared" si="41"/>
        <v>0</v>
      </c>
      <c r="CK57" s="20"/>
      <c r="CL57" s="20"/>
      <c r="CM57" s="20"/>
      <c r="CN57" s="20"/>
      <c r="CO57" s="23">
        <f t="shared" si="42"/>
        <v>0</v>
      </c>
      <c r="CP57" s="16"/>
      <c r="CQ57" s="16" t="s">
        <v>242</v>
      </c>
      <c r="CR57" s="16"/>
      <c r="CS57" s="16">
        <v>85000</v>
      </c>
      <c r="CT57" s="23">
        <f t="shared" si="43"/>
        <v>0</v>
      </c>
      <c r="CU57" s="20"/>
      <c r="CV57" s="20" t="s">
        <v>371</v>
      </c>
      <c r="CW57" s="20"/>
      <c r="CX57" s="20">
        <v>250</v>
      </c>
      <c r="CY57" s="23">
        <f t="shared" si="51"/>
        <v>0</v>
      </c>
      <c r="CZ57" s="20"/>
      <c r="DA57" s="20" t="s">
        <v>334</v>
      </c>
      <c r="DB57" s="20"/>
      <c r="DC57" s="20">
        <v>250</v>
      </c>
      <c r="DD57" s="23">
        <f t="shared" si="45"/>
        <v>0</v>
      </c>
      <c r="DE57" s="16"/>
      <c r="DF57" s="16" t="s">
        <v>372</v>
      </c>
      <c r="DG57" s="16"/>
      <c r="DH57" s="16">
        <v>35000</v>
      </c>
      <c r="DI57" s="16">
        <f t="shared" si="46"/>
        <v>0</v>
      </c>
      <c r="DJ57" s="20"/>
      <c r="DK57" s="20" t="s">
        <v>70</v>
      </c>
      <c r="DL57" s="20"/>
      <c r="DM57" s="20">
        <v>350</v>
      </c>
      <c r="DN57" s="16">
        <f t="shared" si="47"/>
        <v>0</v>
      </c>
      <c r="DO57" s="20"/>
      <c r="DP57" s="20" t="s">
        <v>279</v>
      </c>
      <c r="DQ57" s="20"/>
      <c r="DR57" s="20">
        <v>3900</v>
      </c>
      <c r="DS57" s="16">
        <f t="shared" si="48"/>
        <v>0</v>
      </c>
      <c r="DT57" s="20"/>
      <c r="DU57" s="20" t="s">
        <v>235</v>
      </c>
      <c r="DV57" s="20"/>
      <c r="DW57" s="20">
        <v>22000</v>
      </c>
      <c r="DX57" s="24">
        <f t="shared" si="49"/>
        <v>0</v>
      </c>
    </row>
    <row r="58" spans="1:128" s="2" customFormat="1" x14ac:dyDescent="0.3">
      <c r="A58" s="20"/>
      <c r="B58" s="16" t="str">
        <f>CQ38</f>
        <v>AULA</v>
      </c>
      <c r="C58" s="16">
        <f>CT67</f>
        <v>0</v>
      </c>
      <c r="D58" s="17"/>
      <c r="E58" s="20" t="s">
        <v>43</v>
      </c>
      <c r="F58" s="17"/>
      <c r="G58" s="17">
        <v>2500</v>
      </c>
      <c r="H58" s="16">
        <f t="shared" si="26"/>
        <v>0</v>
      </c>
      <c r="I58" s="19"/>
      <c r="J58" s="16" t="s">
        <v>211</v>
      </c>
      <c r="K58" s="19"/>
      <c r="L58" s="19">
        <v>250</v>
      </c>
      <c r="M58" s="16">
        <f t="shared" si="27"/>
        <v>0</v>
      </c>
      <c r="N58" s="17"/>
      <c r="O58" s="20" t="s">
        <v>65</v>
      </c>
      <c r="P58" s="21"/>
      <c r="Q58" s="19">
        <v>1550</v>
      </c>
      <c r="R58" s="16">
        <f t="shared" si="28"/>
        <v>0</v>
      </c>
      <c r="S58" s="20"/>
      <c r="T58" s="20" t="s">
        <v>62</v>
      </c>
      <c r="U58" s="20"/>
      <c r="V58" s="16">
        <v>7000</v>
      </c>
      <c r="W58" s="16">
        <f t="shared" si="29"/>
        <v>0</v>
      </c>
      <c r="X58" s="16"/>
      <c r="Y58" s="16"/>
      <c r="Z58" s="16"/>
      <c r="AA58" s="16"/>
      <c r="AB58" s="16">
        <f t="shared" si="30"/>
        <v>0</v>
      </c>
      <c r="AC58" s="20"/>
      <c r="AD58" s="20" t="s">
        <v>257</v>
      </c>
      <c r="AE58" s="20"/>
      <c r="AF58" s="20">
        <v>17000</v>
      </c>
      <c r="AG58" s="16">
        <f t="shared" si="31"/>
        <v>0</v>
      </c>
      <c r="AH58" s="16"/>
      <c r="AI58" s="20" t="s">
        <v>219</v>
      </c>
      <c r="AJ58" s="20"/>
      <c r="AK58" s="16">
        <v>4900</v>
      </c>
      <c r="AL58" s="16">
        <f t="shared" si="32"/>
        <v>0</v>
      </c>
      <c r="AM58" s="16"/>
      <c r="AN58" s="16"/>
      <c r="AO58" s="16"/>
      <c r="AP58" s="16"/>
      <c r="AQ58" s="16">
        <f t="shared" si="33"/>
        <v>0</v>
      </c>
      <c r="AR58" s="16"/>
      <c r="AS58" s="16" t="s">
        <v>373</v>
      </c>
      <c r="AT58" s="16"/>
      <c r="AU58" s="16">
        <v>85000</v>
      </c>
      <c r="AV58" s="16">
        <f t="shared" si="34"/>
        <v>0</v>
      </c>
      <c r="AW58" s="16"/>
      <c r="AX58" s="20" t="s">
        <v>264</v>
      </c>
      <c r="AY58" s="17"/>
      <c r="AZ58" s="17">
        <v>5000</v>
      </c>
      <c r="BA58" s="16">
        <f t="shared" si="35"/>
        <v>0</v>
      </c>
      <c r="BB58" s="20"/>
      <c r="BC58" s="20" t="s">
        <v>374</v>
      </c>
      <c r="BD58" s="17"/>
      <c r="BE58" s="17">
        <v>250</v>
      </c>
      <c r="BF58" s="16">
        <f t="shared" si="36"/>
        <v>0</v>
      </c>
      <c r="BG58" s="20"/>
      <c r="BH58" s="20" t="s">
        <v>375</v>
      </c>
      <c r="BI58" s="20"/>
      <c r="BJ58" s="20">
        <v>1000</v>
      </c>
      <c r="BK58" s="16">
        <f t="shared" si="37"/>
        <v>0</v>
      </c>
      <c r="BL58" s="16"/>
      <c r="BM58" s="16" t="s">
        <v>203</v>
      </c>
      <c r="BN58" s="16"/>
      <c r="BO58" s="16">
        <v>20000</v>
      </c>
      <c r="BP58" s="16">
        <f t="shared" si="38"/>
        <v>0</v>
      </c>
      <c r="BQ58" s="16"/>
      <c r="BR58" s="16" t="s">
        <v>306</v>
      </c>
      <c r="BS58" s="16"/>
      <c r="BT58" s="16">
        <v>5000</v>
      </c>
      <c r="BU58" s="16">
        <f t="shared" si="50"/>
        <v>0</v>
      </c>
      <c r="BV58" s="16"/>
      <c r="BW58" s="16"/>
      <c r="BX58" s="16"/>
      <c r="BY58" s="16"/>
      <c r="BZ58" s="2">
        <f t="shared" si="39"/>
        <v>0</v>
      </c>
      <c r="CA58" s="16"/>
      <c r="CB58" s="16"/>
      <c r="CC58" s="16"/>
      <c r="CD58" s="16"/>
      <c r="CE58" s="16">
        <f t="shared" si="40"/>
        <v>0</v>
      </c>
      <c r="CF58" s="16"/>
      <c r="CG58" s="20" t="s">
        <v>376</v>
      </c>
      <c r="CH58" s="20">
        <v>1</v>
      </c>
      <c r="CI58" s="20">
        <v>10000</v>
      </c>
      <c r="CJ58" s="23">
        <f t="shared" si="41"/>
        <v>10000</v>
      </c>
      <c r="CK58" s="20"/>
      <c r="CL58" s="20"/>
      <c r="CM58" s="20"/>
      <c r="CN58" s="20"/>
      <c r="CO58" s="23">
        <f t="shared" si="42"/>
        <v>0</v>
      </c>
      <c r="CP58" s="16"/>
      <c r="CQ58" s="16" t="s">
        <v>377</v>
      </c>
      <c r="CR58" s="16"/>
      <c r="CS58" s="16">
        <v>550</v>
      </c>
      <c r="CT58" s="23">
        <f t="shared" si="43"/>
        <v>0</v>
      </c>
      <c r="CU58" s="20"/>
      <c r="CV58" s="20" t="s">
        <v>68</v>
      </c>
      <c r="CW58" s="20"/>
      <c r="CX58" s="20">
        <v>9000</v>
      </c>
      <c r="CY58" s="23">
        <f t="shared" si="51"/>
        <v>0</v>
      </c>
      <c r="CZ58" s="20"/>
      <c r="DA58" s="20" t="s">
        <v>196</v>
      </c>
      <c r="DB58" s="20"/>
      <c r="DC58" s="20">
        <v>350</v>
      </c>
      <c r="DD58" s="23">
        <f t="shared" si="45"/>
        <v>0</v>
      </c>
      <c r="DE58" s="16"/>
      <c r="DF58" s="16" t="s">
        <v>331</v>
      </c>
      <c r="DG58" s="16"/>
      <c r="DH58" s="16">
        <v>2000</v>
      </c>
      <c r="DI58" s="16">
        <f t="shared" si="46"/>
        <v>0</v>
      </c>
      <c r="DJ58" s="20"/>
      <c r="DK58" s="20" t="s">
        <v>65</v>
      </c>
      <c r="DL58" s="20"/>
      <c r="DM58" s="20">
        <v>1550</v>
      </c>
      <c r="DN58" s="16">
        <f t="shared" si="47"/>
        <v>0</v>
      </c>
      <c r="DO58" s="20"/>
      <c r="DP58" s="20" t="s">
        <v>65</v>
      </c>
      <c r="DQ58" s="21"/>
      <c r="DR58" s="19">
        <v>1550</v>
      </c>
      <c r="DS58" s="16">
        <f t="shared" si="48"/>
        <v>0</v>
      </c>
      <c r="DT58" s="20"/>
      <c r="DU58" s="20" t="s">
        <v>198</v>
      </c>
      <c r="DV58" s="20"/>
      <c r="DW58" s="20">
        <v>22000</v>
      </c>
      <c r="DX58" s="24">
        <f t="shared" si="49"/>
        <v>0</v>
      </c>
    </row>
    <row r="59" spans="1:128" s="2" customFormat="1" x14ac:dyDescent="0.3">
      <c r="A59" s="20"/>
      <c r="B59" s="16" t="str">
        <f>CV38</f>
        <v>PERINA PICU NICU</v>
      </c>
      <c r="C59" s="16">
        <f>CY67</f>
        <v>0</v>
      </c>
      <c r="D59" s="17"/>
      <c r="E59" s="20" t="s">
        <v>263</v>
      </c>
      <c r="F59" s="17"/>
      <c r="G59" s="17">
        <v>7000</v>
      </c>
      <c r="H59" s="16">
        <f t="shared" si="26"/>
        <v>0</v>
      </c>
      <c r="I59" s="19"/>
      <c r="J59" s="16" t="s">
        <v>90</v>
      </c>
      <c r="K59" s="19"/>
      <c r="L59" s="19">
        <v>7000</v>
      </c>
      <c r="M59" s="16">
        <f t="shared" si="27"/>
        <v>0</v>
      </c>
      <c r="N59" s="17"/>
      <c r="O59" s="20" t="s">
        <v>378</v>
      </c>
      <c r="P59" s="21"/>
      <c r="Q59" s="19">
        <v>250</v>
      </c>
      <c r="R59" s="16">
        <f t="shared" si="28"/>
        <v>0</v>
      </c>
      <c r="S59" s="20"/>
      <c r="T59" s="20" t="s">
        <v>131</v>
      </c>
      <c r="U59" s="20"/>
      <c r="V59" s="16">
        <v>250</v>
      </c>
      <c r="W59" s="16">
        <f t="shared" si="29"/>
        <v>0</v>
      </c>
      <c r="X59" s="16"/>
      <c r="Y59" s="16"/>
      <c r="Z59" s="16"/>
      <c r="AA59" s="16"/>
      <c r="AB59" s="16">
        <f t="shared" si="30"/>
        <v>0</v>
      </c>
      <c r="AC59" s="20"/>
      <c r="AD59" s="20" t="s">
        <v>379</v>
      </c>
      <c r="AE59" s="20"/>
      <c r="AF59" s="20">
        <v>15000</v>
      </c>
      <c r="AG59" s="16">
        <f t="shared" si="31"/>
        <v>0</v>
      </c>
      <c r="AH59" s="16"/>
      <c r="AI59" s="16" t="s">
        <v>57</v>
      </c>
      <c r="AJ59" s="22"/>
      <c r="AK59" s="19">
        <v>4000</v>
      </c>
      <c r="AL59" s="16">
        <f t="shared" si="32"/>
        <v>0</v>
      </c>
      <c r="AM59" s="16"/>
      <c r="AN59" s="16"/>
      <c r="AO59" s="16"/>
      <c r="AP59" s="16"/>
      <c r="AQ59" s="16">
        <f t="shared" si="33"/>
        <v>0</v>
      </c>
      <c r="AR59" s="16"/>
      <c r="AS59" s="16" t="s">
        <v>380</v>
      </c>
      <c r="AT59" s="16"/>
      <c r="AU59" s="16">
        <v>11000</v>
      </c>
      <c r="AV59" s="16">
        <f t="shared" si="34"/>
        <v>0</v>
      </c>
      <c r="AW59" s="16"/>
      <c r="AX59" s="16" t="s">
        <v>238</v>
      </c>
      <c r="AY59" s="16"/>
      <c r="AZ59" s="16">
        <v>20000</v>
      </c>
      <c r="BA59" s="16">
        <f t="shared" si="35"/>
        <v>0</v>
      </c>
      <c r="BB59" s="20"/>
      <c r="BC59" s="20" t="s">
        <v>57</v>
      </c>
      <c r="BD59" s="20">
        <v>1</v>
      </c>
      <c r="BE59" s="20">
        <v>4000</v>
      </c>
      <c r="BF59" s="16">
        <f t="shared" si="36"/>
        <v>4000</v>
      </c>
      <c r="BG59" s="20"/>
      <c r="BH59" s="20" t="s">
        <v>298</v>
      </c>
      <c r="BI59" s="20"/>
      <c r="BJ59" s="20">
        <v>50000</v>
      </c>
      <c r="BK59" s="16">
        <f t="shared" si="37"/>
        <v>0</v>
      </c>
      <c r="BL59" s="16"/>
      <c r="BM59" s="16" t="s">
        <v>209</v>
      </c>
      <c r="BN59" s="16"/>
      <c r="BO59" s="16">
        <v>250</v>
      </c>
      <c r="BP59" s="16">
        <f t="shared" si="38"/>
        <v>0</v>
      </c>
      <c r="BQ59" s="16"/>
      <c r="BR59" s="16" t="s">
        <v>182</v>
      </c>
      <c r="BS59" s="16"/>
      <c r="BT59" s="16">
        <v>35000</v>
      </c>
      <c r="BU59" s="16">
        <f t="shared" si="50"/>
        <v>0</v>
      </c>
      <c r="BV59" s="16"/>
      <c r="BW59" s="16"/>
      <c r="BX59" s="16"/>
      <c r="BY59" s="16"/>
      <c r="BZ59" s="2">
        <f t="shared" si="39"/>
        <v>0</v>
      </c>
      <c r="CA59" s="16"/>
      <c r="CB59" s="16"/>
      <c r="CC59" s="16"/>
      <c r="CD59" s="16"/>
      <c r="CE59" s="16">
        <f t="shared" si="40"/>
        <v>0</v>
      </c>
      <c r="CF59" s="16"/>
      <c r="CG59" s="20" t="s">
        <v>263</v>
      </c>
      <c r="CH59" s="17">
        <v>1</v>
      </c>
      <c r="CI59" s="17">
        <v>7000</v>
      </c>
      <c r="CJ59" s="23">
        <f t="shared" si="41"/>
        <v>7000</v>
      </c>
      <c r="CK59" s="20"/>
      <c r="CL59" s="20"/>
      <c r="CM59" s="20"/>
      <c r="CN59" s="20"/>
      <c r="CO59" s="23">
        <f t="shared" si="42"/>
        <v>0</v>
      </c>
      <c r="CP59" s="16"/>
      <c r="CQ59" s="16" t="s">
        <v>381</v>
      </c>
      <c r="CR59" s="16"/>
      <c r="CS59" s="16">
        <v>2000</v>
      </c>
      <c r="CT59" s="23">
        <f t="shared" si="43"/>
        <v>0</v>
      </c>
      <c r="CU59" s="20"/>
      <c r="CV59" s="20" t="s">
        <v>88</v>
      </c>
      <c r="CW59" s="20"/>
      <c r="CX59" s="20">
        <v>2500</v>
      </c>
      <c r="CY59" s="23">
        <f t="shared" si="51"/>
        <v>0</v>
      </c>
      <c r="CZ59" s="20"/>
      <c r="DA59" s="20" t="s">
        <v>382</v>
      </c>
      <c r="DB59" s="20"/>
      <c r="DC59" s="20">
        <v>250</v>
      </c>
      <c r="DD59" s="23">
        <f t="shared" si="45"/>
        <v>0</v>
      </c>
      <c r="DE59" s="16"/>
      <c r="DF59" s="20" t="s">
        <v>65</v>
      </c>
      <c r="DG59" s="20"/>
      <c r="DH59" s="20">
        <v>950</v>
      </c>
      <c r="DI59" s="16">
        <f t="shared" si="46"/>
        <v>0</v>
      </c>
      <c r="DJ59" s="20"/>
      <c r="DK59" s="20" t="s">
        <v>179</v>
      </c>
      <c r="DL59" s="20"/>
      <c r="DM59" s="20">
        <v>35000</v>
      </c>
      <c r="DN59" s="16">
        <f t="shared" si="47"/>
        <v>0</v>
      </c>
      <c r="DO59" s="20"/>
      <c r="DP59" s="20" t="s">
        <v>383</v>
      </c>
      <c r="DQ59" s="20"/>
      <c r="DR59" s="20">
        <v>250</v>
      </c>
      <c r="DS59" s="16">
        <f t="shared" si="48"/>
        <v>0</v>
      </c>
      <c r="DT59" s="20"/>
      <c r="DU59" s="20" t="s">
        <v>384</v>
      </c>
      <c r="DV59" s="20"/>
      <c r="DW59" s="20">
        <v>100</v>
      </c>
      <c r="DX59" s="24">
        <f t="shared" si="49"/>
        <v>0</v>
      </c>
    </row>
    <row r="60" spans="1:128" s="2" customFormat="1" x14ac:dyDescent="0.3">
      <c r="A60" s="20"/>
      <c r="B60" s="16" t="str">
        <f>DA38</f>
        <v>ICU</v>
      </c>
      <c r="C60" s="16">
        <f>DD67</f>
        <v>0</v>
      </c>
      <c r="D60" s="17"/>
      <c r="E60" s="20" t="s">
        <v>103</v>
      </c>
      <c r="F60" s="17"/>
      <c r="G60" s="17">
        <v>1550</v>
      </c>
      <c r="H60" s="16">
        <f t="shared" si="26"/>
        <v>0</v>
      </c>
      <c r="I60" s="19"/>
      <c r="J60" s="16" t="s">
        <v>50</v>
      </c>
      <c r="K60" s="19"/>
      <c r="L60" s="19">
        <v>26500</v>
      </c>
      <c r="M60" s="16">
        <f t="shared" si="27"/>
        <v>0</v>
      </c>
      <c r="N60" s="17"/>
      <c r="O60" s="20" t="s">
        <v>385</v>
      </c>
      <c r="P60" s="21"/>
      <c r="Q60" s="19">
        <v>5000</v>
      </c>
      <c r="R60" s="16">
        <f t="shared" si="28"/>
        <v>0</v>
      </c>
      <c r="S60" s="20"/>
      <c r="T60" s="20" t="s">
        <v>386</v>
      </c>
      <c r="U60" s="20"/>
      <c r="V60" s="16">
        <v>1000</v>
      </c>
      <c r="W60" s="16">
        <f t="shared" si="29"/>
        <v>0</v>
      </c>
      <c r="X60" s="16"/>
      <c r="Y60" s="16"/>
      <c r="Z60" s="16"/>
      <c r="AA60" s="16"/>
      <c r="AB60" s="16">
        <f t="shared" si="30"/>
        <v>0</v>
      </c>
      <c r="AC60" s="20"/>
      <c r="AD60" s="20" t="s">
        <v>361</v>
      </c>
      <c r="AE60" s="20"/>
      <c r="AF60" s="20">
        <v>10000</v>
      </c>
      <c r="AG60" s="16">
        <f t="shared" si="31"/>
        <v>0</v>
      </c>
      <c r="AH60" s="16"/>
      <c r="AI60" s="16" t="s">
        <v>68</v>
      </c>
      <c r="AJ60" s="22"/>
      <c r="AK60" s="19">
        <v>9000</v>
      </c>
      <c r="AL60" s="16">
        <f t="shared" si="32"/>
        <v>0</v>
      </c>
      <c r="AM60" s="16"/>
      <c r="AN60" s="16"/>
      <c r="AO60" s="16"/>
      <c r="AP60" s="16"/>
      <c r="AQ60" s="16">
        <f t="shared" si="33"/>
        <v>0</v>
      </c>
      <c r="AR60" s="16"/>
      <c r="AS60" s="20" t="s">
        <v>324</v>
      </c>
      <c r="AT60" s="20"/>
      <c r="AU60" s="20">
        <v>15000</v>
      </c>
      <c r="AV60" s="16">
        <f t="shared" si="34"/>
        <v>0</v>
      </c>
      <c r="AW60" s="16"/>
      <c r="AX60" s="16" t="s">
        <v>387</v>
      </c>
      <c r="AY60" s="16">
        <v>5</v>
      </c>
      <c r="AZ60" s="16">
        <v>1000</v>
      </c>
      <c r="BA60" s="16">
        <f t="shared" si="35"/>
        <v>5000</v>
      </c>
      <c r="BB60" s="20"/>
      <c r="BC60" s="20" t="s">
        <v>164</v>
      </c>
      <c r="BD60" s="17"/>
      <c r="BE60" s="17">
        <v>15000</v>
      </c>
      <c r="BF60" s="16">
        <f t="shared" si="36"/>
        <v>0</v>
      </c>
      <c r="BG60" s="20"/>
      <c r="BH60" s="20" t="s">
        <v>388</v>
      </c>
      <c r="BI60" s="20"/>
      <c r="BJ60" s="20">
        <v>10000</v>
      </c>
      <c r="BK60" s="16">
        <f t="shared" si="37"/>
        <v>0</v>
      </c>
      <c r="BL60" s="16"/>
      <c r="BM60" s="20" t="s">
        <v>279</v>
      </c>
      <c r="BN60" s="17"/>
      <c r="BO60" s="17">
        <v>4000</v>
      </c>
      <c r="BP60" s="16">
        <f t="shared" si="38"/>
        <v>0</v>
      </c>
      <c r="BQ60" s="16"/>
      <c r="BR60" s="16"/>
      <c r="BS60" s="16"/>
      <c r="BT60" s="16"/>
      <c r="BU60" s="16">
        <f t="shared" si="50"/>
        <v>0</v>
      </c>
      <c r="BV60" s="16"/>
      <c r="BW60" s="16"/>
      <c r="BX60" s="16"/>
      <c r="BY60" s="16"/>
      <c r="BZ60" s="2">
        <f t="shared" si="39"/>
        <v>0</v>
      </c>
      <c r="CA60" s="16"/>
      <c r="CB60" s="16"/>
      <c r="CC60" s="16"/>
      <c r="CD60" s="16"/>
      <c r="CE60" s="16">
        <f t="shared" si="40"/>
        <v>0</v>
      </c>
      <c r="CF60" s="16"/>
      <c r="CG60" s="16"/>
      <c r="CH60" s="16"/>
      <c r="CI60" s="23"/>
      <c r="CJ60" s="23">
        <f t="shared" si="41"/>
        <v>0</v>
      </c>
      <c r="CK60" s="20"/>
      <c r="CL60" s="20"/>
      <c r="CM60" s="20"/>
      <c r="CN60" s="20"/>
      <c r="CO60" s="23">
        <f t="shared" si="42"/>
        <v>0</v>
      </c>
      <c r="CP60" s="16"/>
      <c r="CQ60" s="16" t="s">
        <v>389</v>
      </c>
      <c r="CR60" s="16"/>
      <c r="CS60" s="16">
        <v>1500</v>
      </c>
      <c r="CT60" s="23">
        <f t="shared" si="43"/>
        <v>0</v>
      </c>
      <c r="CU60" s="20"/>
      <c r="CV60" s="20" t="s">
        <v>151</v>
      </c>
      <c r="CW60" s="17"/>
      <c r="CX60" s="17">
        <v>250</v>
      </c>
      <c r="CY60" s="23">
        <f t="shared" si="51"/>
        <v>0</v>
      </c>
      <c r="CZ60" s="20"/>
      <c r="DA60" s="20" t="s">
        <v>65</v>
      </c>
      <c r="DB60" s="20"/>
      <c r="DC60" s="20">
        <v>950</v>
      </c>
      <c r="DD60" s="23">
        <f t="shared" si="45"/>
        <v>0</v>
      </c>
      <c r="DE60" s="16"/>
      <c r="DF60" s="20" t="s">
        <v>376</v>
      </c>
      <c r="DG60" s="20"/>
      <c r="DH60" s="20">
        <v>10000</v>
      </c>
      <c r="DI60" s="16">
        <f t="shared" si="46"/>
        <v>0</v>
      </c>
      <c r="DJ60" s="20"/>
      <c r="DK60" s="20" t="s">
        <v>390</v>
      </c>
      <c r="DL60" s="20"/>
      <c r="DM60" s="20">
        <v>3900</v>
      </c>
      <c r="DN60" s="16">
        <f t="shared" si="47"/>
        <v>0</v>
      </c>
      <c r="DO60" s="20"/>
      <c r="DP60" s="20" t="s">
        <v>254</v>
      </c>
      <c r="DQ60" s="20"/>
      <c r="DR60" s="20">
        <v>5000</v>
      </c>
      <c r="DS60" s="16">
        <f t="shared" si="48"/>
        <v>0</v>
      </c>
      <c r="DT60" s="20"/>
      <c r="DU60" s="20" t="s">
        <v>391</v>
      </c>
      <c r="DV60" s="20"/>
      <c r="DW60" s="20"/>
      <c r="DX60" s="24">
        <f t="shared" si="49"/>
        <v>0</v>
      </c>
    </row>
    <row r="61" spans="1:128" s="2" customFormat="1" x14ac:dyDescent="0.3">
      <c r="A61" s="20"/>
      <c r="B61" s="16" t="str">
        <f>DF38</f>
        <v>GIZI</v>
      </c>
      <c r="C61" s="16">
        <f>DI67</f>
        <v>52500</v>
      </c>
      <c r="D61" s="17"/>
      <c r="E61" s="20" t="s">
        <v>392</v>
      </c>
      <c r="F61" s="17"/>
      <c r="G61" s="17">
        <v>85000</v>
      </c>
      <c r="H61" s="16">
        <f t="shared" si="26"/>
        <v>0</v>
      </c>
      <c r="I61" s="19"/>
      <c r="J61" s="16" t="s">
        <v>393</v>
      </c>
      <c r="K61" s="19"/>
      <c r="L61" s="19">
        <v>250</v>
      </c>
      <c r="M61" s="16">
        <f t="shared" si="27"/>
        <v>0</v>
      </c>
      <c r="N61" s="17"/>
      <c r="O61" s="20" t="s">
        <v>217</v>
      </c>
      <c r="P61" s="21"/>
      <c r="Q61" s="19">
        <v>85000</v>
      </c>
      <c r="R61" s="16">
        <f t="shared" si="28"/>
        <v>0</v>
      </c>
      <c r="S61" s="20"/>
      <c r="T61" s="20" t="s">
        <v>69</v>
      </c>
      <c r="U61" s="20"/>
      <c r="V61" s="16">
        <v>1000</v>
      </c>
      <c r="W61" s="16">
        <f t="shared" si="29"/>
        <v>0</v>
      </c>
      <c r="X61" s="16"/>
      <c r="Y61" s="16"/>
      <c r="Z61" s="16"/>
      <c r="AA61" s="16"/>
      <c r="AB61" s="16">
        <f t="shared" si="30"/>
        <v>0</v>
      </c>
      <c r="AC61" s="20"/>
      <c r="AD61" s="20" t="s">
        <v>394</v>
      </c>
      <c r="AE61" s="20"/>
      <c r="AF61" s="20">
        <v>250</v>
      </c>
      <c r="AG61" s="16">
        <f t="shared" si="31"/>
        <v>0</v>
      </c>
      <c r="AH61" s="16"/>
      <c r="AI61" s="16" t="s">
        <v>225</v>
      </c>
      <c r="AJ61" s="22"/>
      <c r="AK61" s="19">
        <v>3900</v>
      </c>
      <c r="AL61" s="16">
        <f t="shared" si="32"/>
        <v>0</v>
      </c>
      <c r="AM61" s="16"/>
      <c r="AN61" s="16"/>
      <c r="AO61" s="16"/>
      <c r="AP61" s="16"/>
      <c r="AQ61" s="16">
        <f t="shared" si="33"/>
        <v>0</v>
      </c>
      <c r="AR61" s="16"/>
      <c r="AS61" s="20" t="s">
        <v>198</v>
      </c>
      <c r="AT61" s="20"/>
      <c r="AU61" s="20">
        <v>22000</v>
      </c>
      <c r="AV61" s="16">
        <f t="shared" si="34"/>
        <v>0</v>
      </c>
      <c r="AW61" s="16"/>
      <c r="AX61" s="16"/>
      <c r="AY61" s="16"/>
      <c r="AZ61" s="16"/>
      <c r="BA61" s="16">
        <f t="shared" si="35"/>
        <v>0</v>
      </c>
      <c r="BB61" s="20"/>
      <c r="BC61" s="20" t="s">
        <v>51</v>
      </c>
      <c r="BD61" s="20">
        <v>30</v>
      </c>
      <c r="BE61" s="20">
        <v>100</v>
      </c>
      <c r="BF61" s="16">
        <f t="shared" si="36"/>
        <v>3000</v>
      </c>
      <c r="BG61" s="20"/>
      <c r="BH61" s="20" t="s">
        <v>135</v>
      </c>
      <c r="BI61" s="20"/>
      <c r="BJ61" s="20">
        <v>6500</v>
      </c>
      <c r="BK61" s="16">
        <f t="shared" si="37"/>
        <v>0</v>
      </c>
      <c r="BL61" s="16"/>
      <c r="BM61" s="16" t="s">
        <v>53</v>
      </c>
      <c r="BN61" s="16"/>
      <c r="BO61" s="16">
        <v>250</v>
      </c>
      <c r="BP61" s="16">
        <f t="shared" si="38"/>
        <v>0</v>
      </c>
      <c r="BQ61" s="16"/>
      <c r="BR61" s="16"/>
      <c r="BS61" s="16"/>
      <c r="BT61" s="16"/>
      <c r="BU61" s="16">
        <f t="shared" si="50"/>
        <v>0</v>
      </c>
      <c r="BV61" s="16"/>
      <c r="BW61" s="16"/>
      <c r="BX61" s="16"/>
      <c r="BY61" s="16"/>
      <c r="BZ61" s="2">
        <f t="shared" si="39"/>
        <v>0</v>
      </c>
      <c r="CA61" s="16"/>
      <c r="CB61" s="16"/>
      <c r="CC61" s="16"/>
      <c r="CD61" s="16"/>
      <c r="CE61" s="16">
        <f t="shared" si="40"/>
        <v>0</v>
      </c>
      <c r="CF61" s="16"/>
      <c r="CG61" s="16"/>
      <c r="CH61" s="16"/>
      <c r="CI61" s="23"/>
      <c r="CJ61" s="23">
        <f t="shared" si="41"/>
        <v>0</v>
      </c>
      <c r="CK61" s="20"/>
      <c r="CL61" s="20"/>
      <c r="CM61" s="20"/>
      <c r="CN61" s="20"/>
      <c r="CO61" s="23">
        <f t="shared" si="42"/>
        <v>0</v>
      </c>
      <c r="CP61" s="16"/>
      <c r="CQ61" s="16" t="s">
        <v>152</v>
      </c>
      <c r="CR61" s="16"/>
      <c r="CS61" s="16">
        <v>3000</v>
      </c>
      <c r="CT61" s="23">
        <f t="shared" si="43"/>
        <v>0</v>
      </c>
      <c r="CU61" s="20"/>
      <c r="CV61" s="16" t="s">
        <v>395</v>
      </c>
      <c r="CW61" s="27"/>
      <c r="CX61" s="19">
        <v>250</v>
      </c>
      <c r="CY61" s="23">
        <f t="shared" si="51"/>
        <v>0</v>
      </c>
      <c r="CZ61" s="20"/>
      <c r="DA61" s="20" t="s">
        <v>90</v>
      </c>
      <c r="DB61" s="20"/>
      <c r="DC61" s="20">
        <v>7000</v>
      </c>
      <c r="DD61" s="23">
        <f t="shared" si="45"/>
        <v>0</v>
      </c>
      <c r="DE61" s="16"/>
      <c r="DF61" s="20" t="s">
        <v>84</v>
      </c>
      <c r="DG61" s="20"/>
      <c r="DH61" s="20">
        <v>100</v>
      </c>
      <c r="DI61" s="16">
        <f t="shared" si="46"/>
        <v>0</v>
      </c>
      <c r="DJ61" s="20"/>
      <c r="DK61" s="20" t="s">
        <v>90</v>
      </c>
      <c r="DL61" s="20"/>
      <c r="DM61" s="20">
        <v>7000</v>
      </c>
      <c r="DN61" s="16">
        <f t="shared" si="47"/>
        <v>0</v>
      </c>
      <c r="DO61" s="20"/>
      <c r="DP61" s="20" t="s">
        <v>221</v>
      </c>
      <c r="DQ61" s="20"/>
      <c r="DR61" s="20">
        <v>250</v>
      </c>
      <c r="DS61" s="16">
        <f t="shared" si="48"/>
        <v>0</v>
      </c>
      <c r="DT61" s="20"/>
      <c r="DU61" s="20" t="s">
        <v>396</v>
      </c>
      <c r="DV61" s="20"/>
      <c r="DW61" s="20">
        <v>250</v>
      </c>
      <c r="DX61" s="24">
        <f t="shared" si="49"/>
        <v>0</v>
      </c>
    </row>
    <row r="62" spans="1:128" s="2" customFormat="1" x14ac:dyDescent="0.3">
      <c r="A62" s="20"/>
      <c r="B62" s="16" t="str">
        <f>DK38</f>
        <v>MADINAH 3</v>
      </c>
      <c r="C62" s="16">
        <f>DN67</f>
        <v>0</v>
      </c>
      <c r="D62" s="17"/>
      <c r="E62" s="20" t="s">
        <v>397</v>
      </c>
      <c r="F62" s="17"/>
      <c r="G62" s="17">
        <v>1000</v>
      </c>
      <c r="H62" s="16">
        <f t="shared" si="26"/>
        <v>0</v>
      </c>
      <c r="I62" s="19"/>
      <c r="J62" s="16" t="s">
        <v>398</v>
      </c>
      <c r="K62" s="19"/>
      <c r="L62" s="19">
        <v>4000</v>
      </c>
      <c r="M62" s="16">
        <f t="shared" si="27"/>
        <v>0</v>
      </c>
      <c r="N62" s="17"/>
      <c r="O62" s="20" t="s">
        <v>399</v>
      </c>
      <c r="P62" s="20"/>
      <c r="Q62" s="20">
        <v>250</v>
      </c>
      <c r="R62" s="16">
        <f t="shared" si="28"/>
        <v>0</v>
      </c>
      <c r="S62" s="20"/>
      <c r="T62" s="20" t="s">
        <v>239</v>
      </c>
      <c r="U62" s="20"/>
      <c r="V62" s="16">
        <v>85000</v>
      </c>
      <c r="W62" s="16">
        <f t="shared" si="29"/>
        <v>0</v>
      </c>
      <c r="X62" s="16"/>
      <c r="Y62" s="16"/>
      <c r="Z62" s="16"/>
      <c r="AA62" s="16"/>
      <c r="AB62" s="16">
        <f t="shared" si="30"/>
        <v>0</v>
      </c>
      <c r="AC62" s="20"/>
      <c r="AD62" s="20" t="s">
        <v>274</v>
      </c>
      <c r="AE62" s="20"/>
      <c r="AF62" s="20">
        <v>26500</v>
      </c>
      <c r="AG62" s="16">
        <f t="shared" si="31"/>
        <v>0</v>
      </c>
      <c r="AH62" s="16"/>
      <c r="AI62" s="16" t="s">
        <v>400</v>
      </c>
      <c r="AJ62" s="22"/>
      <c r="AK62" s="19">
        <v>5000</v>
      </c>
      <c r="AL62" s="16">
        <f t="shared" si="32"/>
        <v>0</v>
      </c>
      <c r="AM62" s="16"/>
      <c r="AN62" s="16"/>
      <c r="AO62" s="16"/>
      <c r="AP62" s="16"/>
      <c r="AQ62" s="16">
        <f t="shared" si="33"/>
        <v>0</v>
      </c>
      <c r="AR62" s="16"/>
      <c r="AS62" s="20" t="s">
        <v>254</v>
      </c>
      <c r="AT62" s="20"/>
      <c r="AU62" s="20">
        <v>5000</v>
      </c>
      <c r="AV62" s="16">
        <f t="shared" si="34"/>
        <v>0</v>
      </c>
      <c r="AW62" s="16"/>
      <c r="AX62" s="16"/>
      <c r="AY62" s="16"/>
      <c r="AZ62" s="16"/>
      <c r="BA62" s="16">
        <f t="shared" si="35"/>
        <v>0</v>
      </c>
      <c r="BB62" s="20"/>
      <c r="BC62" s="20" t="s">
        <v>47</v>
      </c>
      <c r="BD62" s="20">
        <v>5</v>
      </c>
      <c r="BE62" s="16">
        <v>4400</v>
      </c>
      <c r="BF62" s="16">
        <f t="shared" si="36"/>
        <v>22000</v>
      </c>
      <c r="BG62" s="20"/>
      <c r="BH62" s="20" t="s">
        <v>62</v>
      </c>
      <c r="BI62" s="20"/>
      <c r="BJ62" s="20">
        <v>5000</v>
      </c>
      <c r="BK62" s="16">
        <f t="shared" si="37"/>
        <v>0</v>
      </c>
      <c r="BL62" s="16"/>
      <c r="BM62" s="16" t="s">
        <v>69</v>
      </c>
      <c r="BN62" s="16"/>
      <c r="BO62" s="16">
        <v>1000</v>
      </c>
      <c r="BP62" s="16">
        <f t="shared" si="38"/>
        <v>0</v>
      </c>
      <c r="BQ62" s="16"/>
      <c r="BR62" s="16"/>
      <c r="BS62" s="16"/>
      <c r="BT62" s="16"/>
      <c r="BU62" s="16">
        <f t="shared" si="50"/>
        <v>0</v>
      </c>
      <c r="BV62" s="16"/>
      <c r="BW62" s="16"/>
      <c r="BX62" s="16"/>
      <c r="BY62" s="16"/>
      <c r="BZ62" s="2">
        <f t="shared" si="39"/>
        <v>0</v>
      </c>
      <c r="CA62" s="16"/>
      <c r="CB62" s="16"/>
      <c r="CC62" s="16"/>
      <c r="CD62" s="16"/>
      <c r="CE62" s="16">
        <f t="shared" si="40"/>
        <v>0</v>
      </c>
      <c r="CF62" s="16"/>
      <c r="CG62" s="16"/>
      <c r="CH62" s="16"/>
      <c r="CI62" s="23"/>
      <c r="CJ62" s="23">
        <f t="shared" si="41"/>
        <v>0</v>
      </c>
      <c r="CK62" s="20"/>
      <c r="CL62" s="20"/>
      <c r="CM62" s="20"/>
      <c r="CN62" s="20"/>
      <c r="CO62" s="23">
        <f t="shared" si="42"/>
        <v>0</v>
      </c>
      <c r="CP62" s="16"/>
      <c r="CQ62" s="16" t="s">
        <v>235</v>
      </c>
      <c r="CR62" s="16"/>
      <c r="CS62" s="16">
        <v>22000</v>
      </c>
      <c r="CT62" s="23">
        <f t="shared" si="43"/>
        <v>0</v>
      </c>
      <c r="CU62" s="20"/>
      <c r="CV62" s="20" t="s">
        <v>401</v>
      </c>
      <c r="CW62" s="20"/>
      <c r="CX62" s="20">
        <v>250</v>
      </c>
      <c r="CY62" s="23">
        <f t="shared" si="51"/>
        <v>0</v>
      </c>
      <c r="CZ62" s="20"/>
      <c r="DA62" s="20" t="s">
        <v>103</v>
      </c>
      <c r="DB62" s="20"/>
      <c r="DC62" s="20">
        <v>8500</v>
      </c>
      <c r="DD62" s="23">
        <f t="shared" si="45"/>
        <v>0</v>
      </c>
      <c r="DE62" s="16"/>
      <c r="DF62" s="16"/>
      <c r="DG62" s="16"/>
      <c r="DH62" s="16"/>
      <c r="DI62" s="16">
        <f t="shared" si="46"/>
        <v>0</v>
      </c>
      <c r="DJ62" s="20"/>
      <c r="DK62" s="20" t="s">
        <v>131</v>
      </c>
      <c r="DL62" s="20"/>
      <c r="DM62" s="20">
        <v>250</v>
      </c>
      <c r="DN62" s="16">
        <f t="shared" si="47"/>
        <v>0</v>
      </c>
      <c r="DO62" s="20"/>
      <c r="DP62" s="20" t="s">
        <v>402</v>
      </c>
      <c r="DQ62" s="20"/>
      <c r="DR62" s="20">
        <v>250</v>
      </c>
      <c r="DS62" s="16">
        <f t="shared" si="48"/>
        <v>0</v>
      </c>
      <c r="DT62" s="20"/>
      <c r="DU62" s="20" t="s">
        <v>312</v>
      </c>
      <c r="DV62" s="20"/>
      <c r="DW62" s="20">
        <v>12000</v>
      </c>
      <c r="DX62" s="24">
        <f t="shared" si="49"/>
        <v>0</v>
      </c>
    </row>
    <row r="63" spans="1:128" s="2" customFormat="1" x14ac:dyDescent="0.3">
      <c r="A63" s="20"/>
      <c r="B63" s="16" t="str">
        <f>DP38</f>
        <v>AROFAH</v>
      </c>
      <c r="C63" s="16">
        <f>DS67</f>
        <v>0</v>
      </c>
      <c r="D63" s="17"/>
      <c r="E63" s="20"/>
      <c r="F63" s="17"/>
      <c r="G63" s="17"/>
      <c r="H63" s="16">
        <f t="shared" si="26"/>
        <v>0</v>
      </c>
      <c r="I63" s="19"/>
      <c r="J63" s="16" t="s">
        <v>403</v>
      </c>
      <c r="K63" s="19"/>
      <c r="L63" s="19">
        <v>20000</v>
      </c>
      <c r="M63" s="16">
        <f t="shared" si="27"/>
        <v>0</v>
      </c>
      <c r="N63" s="17"/>
      <c r="O63" s="16" t="s">
        <v>42</v>
      </c>
      <c r="P63" s="16"/>
      <c r="Q63" s="16">
        <v>50000</v>
      </c>
      <c r="R63" s="16">
        <f t="shared" si="28"/>
        <v>0</v>
      </c>
      <c r="S63" s="20"/>
      <c r="T63" s="20" t="s">
        <v>152</v>
      </c>
      <c r="U63" s="20"/>
      <c r="V63" s="20">
        <v>3000</v>
      </c>
      <c r="W63" s="16">
        <f t="shared" si="29"/>
        <v>0</v>
      </c>
      <c r="X63" s="16"/>
      <c r="Y63" s="16"/>
      <c r="Z63" s="16"/>
      <c r="AA63" s="16"/>
      <c r="AB63" s="16">
        <f t="shared" si="30"/>
        <v>0</v>
      </c>
      <c r="AC63" s="20"/>
      <c r="AD63" s="20" t="s">
        <v>50</v>
      </c>
      <c r="AE63" s="20"/>
      <c r="AF63" s="20">
        <v>26500</v>
      </c>
      <c r="AG63" s="16">
        <f t="shared" si="31"/>
        <v>0</v>
      </c>
      <c r="AH63" s="16"/>
      <c r="AI63" s="16" t="s">
        <v>225</v>
      </c>
      <c r="AJ63" s="22"/>
      <c r="AK63" s="16">
        <v>3900</v>
      </c>
      <c r="AL63" s="16">
        <f t="shared" si="32"/>
        <v>0</v>
      </c>
      <c r="AM63" s="16"/>
      <c r="AN63" s="16"/>
      <c r="AO63" s="16"/>
      <c r="AP63" s="16"/>
      <c r="AQ63" s="16">
        <f t="shared" si="33"/>
        <v>0</v>
      </c>
      <c r="AR63" s="16"/>
      <c r="AS63" s="16" t="s">
        <v>230</v>
      </c>
      <c r="AT63" s="16"/>
      <c r="AU63" s="16">
        <v>5000</v>
      </c>
      <c r="AV63" s="16">
        <f t="shared" si="34"/>
        <v>0</v>
      </c>
      <c r="AW63" s="16"/>
      <c r="AX63" s="16"/>
      <c r="AY63" s="16"/>
      <c r="AZ63" s="16"/>
      <c r="BA63" s="16">
        <f t="shared" si="35"/>
        <v>0</v>
      </c>
      <c r="BB63" s="20"/>
      <c r="BC63" s="20" t="s">
        <v>404</v>
      </c>
      <c r="BD63" s="17"/>
      <c r="BE63" s="17">
        <v>100</v>
      </c>
      <c r="BF63" s="16">
        <f t="shared" si="36"/>
        <v>0</v>
      </c>
      <c r="BG63" s="20"/>
      <c r="BH63" s="20" t="s">
        <v>135</v>
      </c>
      <c r="BI63" s="20"/>
      <c r="BJ63" s="20">
        <v>6500</v>
      </c>
      <c r="BK63" s="16">
        <f t="shared" si="37"/>
        <v>0</v>
      </c>
      <c r="BL63" s="16"/>
      <c r="BM63" s="16" t="s">
        <v>235</v>
      </c>
      <c r="BN63" s="16"/>
      <c r="BO63" s="16">
        <v>1000</v>
      </c>
      <c r="BP63" s="16">
        <f t="shared" si="38"/>
        <v>0</v>
      </c>
      <c r="BQ63" s="16"/>
      <c r="BR63" s="16"/>
      <c r="BS63" s="16"/>
      <c r="BT63" s="16"/>
      <c r="BU63" s="16">
        <f t="shared" si="50"/>
        <v>0</v>
      </c>
      <c r="BV63" s="16"/>
      <c r="BW63" s="16"/>
      <c r="BX63" s="16"/>
      <c r="BY63" s="16"/>
      <c r="BZ63" s="2">
        <f t="shared" si="39"/>
        <v>0</v>
      </c>
      <c r="CA63" s="16"/>
      <c r="CB63" s="16"/>
      <c r="CC63" s="16"/>
      <c r="CD63" s="16"/>
      <c r="CE63" s="16">
        <f t="shared" si="40"/>
        <v>0</v>
      </c>
      <c r="CF63" s="16"/>
      <c r="CG63" s="16"/>
      <c r="CH63" s="16"/>
      <c r="CI63" s="23"/>
      <c r="CJ63" s="23">
        <f t="shared" si="41"/>
        <v>0</v>
      </c>
      <c r="CK63" s="20"/>
      <c r="CL63" s="20"/>
      <c r="CM63" s="20"/>
      <c r="CN63" s="20"/>
      <c r="CO63" s="23">
        <f t="shared" si="42"/>
        <v>0</v>
      </c>
      <c r="CP63" s="16"/>
      <c r="CQ63" s="16" t="s">
        <v>312</v>
      </c>
      <c r="CR63" s="16"/>
      <c r="CS63" s="16">
        <v>12000</v>
      </c>
      <c r="CT63" s="23">
        <f t="shared" si="43"/>
        <v>0</v>
      </c>
      <c r="CU63" s="20"/>
      <c r="CV63" s="20" t="s">
        <v>188</v>
      </c>
      <c r="CW63" s="20"/>
      <c r="CX63" s="20">
        <v>250</v>
      </c>
      <c r="CY63" s="23">
        <f t="shared" si="51"/>
        <v>0</v>
      </c>
      <c r="CZ63" s="20"/>
      <c r="DA63" s="20" t="s">
        <v>164</v>
      </c>
      <c r="DB63" s="20"/>
      <c r="DC63" s="20">
        <v>15000</v>
      </c>
      <c r="DD63" s="23">
        <f t="shared" si="45"/>
        <v>0</v>
      </c>
      <c r="DE63" s="16"/>
      <c r="DF63" s="16"/>
      <c r="DG63" s="16"/>
      <c r="DH63" s="16"/>
      <c r="DI63" s="16">
        <f t="shared" si="46"/>
        <v>0</v>
      </c>
      <c r="DJ63" s="20"/>
      <c r="DK63" s="20" t="s">
        <v>225</v>
      </c>
      <c r="DL63" s="17"/>
      <c r="DM63" s="17">
        <v>3900</v>
      </c>
      <c r="DN63" s="16">
        <f t="shared" si="47"/>
        <v>0</v>
      </c>
      <c r="DO63" s="20"/>
      <c r="DP63" s="20" t="s">
        <v>405</v>
      </c>
      <c r="DQ63" s="20"/>
      <c r="DR63" s="20">
        <v>4000</v>
      </c>
      <c r="DS63" s="16">
        <f t="shared" si="48"/>
        <v>0</v>
      </c>
      <c r="DT63" s="20"/>
      <c r="DU63" s="20" t="s">
        <v>179</v>
      </c>
      <c r="DV63" s="20"/>
      <c r="DW63" s="20">
        <v>35000</v>
      </c>
      <c r="DX63" s="24">
        <f t="shared" si="49"/>
        <v>0</v>
      </c>
    </row>
    <row r="64" spans="1:128" s="2" customFormat="1" x14ac:dyDescent="0.3">
      <c r="A64" s="20"/>
      <c r="B64" s="16" t="s">
        <v>30</v>
      </c>
      <c r="C64" s="16">
        <f>DX67</f>
        <v>0</v>
      </c>
      <c r="D64" s="17"/>
      <c r="E64" s="20"/>
      <c r="F64" s="17"/>
      <c r="G64" s="17"/>
      <c r="H64" s="16">
        <f t="shared" si="26"/>
        <v>0</v>
      </c>
      <c r="I64" s="19"/>
      <c r="J64" s="20" t="s">
        <v>68</v>
      </c>
      <c r="K64" s="20"/>
      <c r="L64" s="20">
        <v>9000</v>
      </c>
      <c r="M64" s="16">
        <f t="shared" si="27"/>
        <v>0</v>
      </c>
      <c r="N64" s="17"/>
      <c r="O64" s="20" t="s">
        <v>406</v>
      </c>
      <c r="P64" s="21"/>
      <c r="Q64" s="19">
        <v>3500</v>
      </c>
      <c r="R64" s="16">
        <f t="shared" si="28"/>
        <v>0</v>
      </c>
      <c r="S64" s="20"/>
      <c r="T64" s="20" t="s">
        <v>407</v>
      </c>
      <c r="U64" s="20"/>
      <c r="V64" s="20">
        <v>35000</v>
      </c>
      <c r="W64" s="16">
        <f t="shared" si="29"/>
        <v>0</v>
      </c>
      <c r="X64" s="16"/>
      <c r="Y64" s="16"/>
      <c r="Z64" s="16"/>
      <c r="AA64" s="16"/>
      <c r="AB64" s="16">
        <f t="shared" si="30"/>
        <v>0</v>
      </c>
      <c r="AC64" s="20"/>
      <c r="AD64" s="20" t="s">
        <v>244</v>
      </c>
      <c r="AE64" s="20"/>
      <c r="AF64" s="20">
        <v>3500</v>
      </c>
      <c r="AG64" s="16">
        <f t="shared" si="31"/>
        <v>0</v>
      </c>
      <c r="AH64" s="16"/>
      <c r="AI64" s="20" t="s">
        <v>408</v>
      </c>
      <c r="AJ64" s="17"/>
      <c r="AK64" s="17">
        <v>4400</v>
      </c>
      <c r="AL64" s="16">
        <f t="shared" si="32"/>
        <v>0</v>
      </c>
      <c r="AM64" s="16"/>
      <c r="AN64" s="16"/>
      <c r="AO64" s="16"/>
      <c r="AP64" s="16"/>
      <c r="AQ64" s="16">
        <f t="shared" si="33"/>
        <v>0</v>
      </c>
      <c r="AR64" s="16"/>
      <c r="AS64" s="20" t="s">
        <v>264</v>
      </c>
      <c r="AT64" s="17"/>
      <c r="AU64" s="17">
        <v>5000</v>
      </c>
      <c r="AV64" s="16">
        <f t="shared" si="34"/>
        <v>0</v>
      </c>
      <c r="AW64" s="16"/>
      <c r="AX64" s="16"/>
      <c r="AY64" s="16"/>
      <c r="AZ64" s="16"/>
      <c r="BA64" s="16">
        <f t="shared" si="35"/>
        <v>0</v>
      </c>
      <c r="BB64" s="20"/>
      <c r="BC64" s="20" t="s">
        <v>409</v>
      </c>
      <c r="BD64" s="17">
        <v>1</v>
      </c>
      <c r="BE64" s="17"/>
      <c r="BF64" s="16">
        <f t="shared" si="36"/>
        <v>0</v>
      </c>
      <c r="BG64" s="20"/>
      <c r="BH64" s="20" t="s">
        <v>301</v>
      </c>
      <c r="BI64" s="20"/>
      <c r="BJ64" s="20">
        <v>35000</v>
      </c>
      <c r="BK64" s="16">
        <f t="shared" si="37"/>
        <v>0</v>
      </c>
      <c r="BL64" s="16"/>
      <c r="BM64" s="16" t="s">
        <v>312</v>
      </c>
      <c r="BN64" s="16"/>
      <c r="BO64" s="16">
        <v>20000</v>
      </c>
      <c r="BP64" s="16">
        <f t="shared" si="38"/>
        <v>0</v>
      </c>
      <c r="BQ64" s="16"/>
      <c r="BR64" s="16"/>
      <c r="BS64" s="16"/>
      <c r="BT64" s="16"/>
      <c r="BU64" s="16">
        <f t="shared" si="50"/>
        <v>0</v>
      </c>
      <c r="BV64" s="16"/>
      <c r="BW64" s="16"/>
      <c r="BX64" s="16"/>
      <c r="BY64" s="16"/>
      <c r="BZ64" s="2">
        <f t="shared" si="39"/>
        <v>0</v>
      </c>
      <c r="CA64" s="16"/>
      <c r="CB64" s="16"/>
      <c r="CC64" s="16"/>
      <c r="CD64" s="16"/>
      <c r="CE64" s="16">
        <f t="shared" si="40"/>
        <v>0</v>
      </c>
      <c r="CF64" s="16"/>
      <c r="CG64" s="16"/>
      <c r="CH64" s="16"/>
      <c r="CI64" s="23"/>
      <c r="CJ64" s="23">
        <f t="shared" si="41"/>
        <v>0</v>
      </c>
      <c r="CK64" s="20"/>
      <c r="CL64" s="20"/>
      <c r="CM64" s="20"/>
      <c r="CN64" s="20"/>
      <c r="CO64" s="23">
        <f t="shared" si="42"/>
        <v>0</v>
      </c>
      <c r="CP64" s="16"/>
      <c r="CQ64" s="16" t="s">
        <v>90</v>
      </c>
      <c r="CR64" s="16"/>
      <c r="CS64" s="16">
        <v>7000</v>
      </c>
      <c r="CT64" s="23">
        <f t="shared" si="43"/>
        <v>0</v>
      </c>
      <c r="CU64" s="20"/>
      <c r="CV64" s="20"/>
      <c r="CW64" s="20"/>
      <c r="CX64" s="20"/>
      <c r="CY64" s="23">
        <f t="shared" si="51"/>
        <v>0</v>
      </c>
      <c r="CZ64" s="20"/>
      <c r="DA64" s="20" t="s">
        <v>83</v>
      </c>
      <c r="DB64" s="20"/>
      <c r="DC64" s="20">
        <v>3300</v>
      </c>
      <c r="DD64" s="23">
        <f t="shared" si="45"/>
        <v>0</v>
      </c>
      <c r="DE64" s="16"/>
      <c r="DF64" s="16"/>
      <c r="DG64" s="16"/>
      <c r="DH64" s="16"/>
      <c r="DI64" s="16">
        <f t="shared" si="46"/>
        <v>0</v>
      </c>
      <c r="DJ64" s="20"/>
      <c r="DK64" s="20" t="s">
        <v>312</v>
      </c>
      <c r="DL64" s="20"/>
      <c r="DM64" s="20">
        <v>12000</v>
      </c>
      <c r="DN64" s="16">
        <f t="shared" si="47"/>
        <v>0</v>
      </c>
      <c r="DO64" s="20"/>
      <c r="DP64" s="20" t="s">
        <v>162</v>
      </c>
      <c r="DQ64" s="20"/>
      <c r="DR64" s="20">
        <v>250</v>
      </c>
      <c r="DS64" s="16">
        <f t="shared" si="48"/>
        <v>0</v>
      </c>
      <c r="DT64" s="20"/>
      <c r="DU64" s="20" t="s">
        <v>410</v>
      </c>
      <c r="DV64" s="42"/>
      <c r="DW64" s="20">
        <v>250</v>
      </c>
      <c r="DX64" s="24">
        <f t="shared" si="49"/>
        <v>0</v>
      </c>
    </row>
    <row r="65" spans="1:128" s="2" customFormat="1" x14ac:dyDescent="0.3">
      <c r="A65" s="20"/>
      <c r="B65" s="16"/>
      <c r="C65" s="16"/>
      <c r="D65" s="17"/>
      <c r="E65" s="20"/>
      <c r="F65" s="17"/>
      <c r="G65" s="17"/>
      <c r="H65" s="16">
        <f t="shared" si="26"/>
        <v>0</v>
      </c>
      <c r="I65" s="19"/>
      <c r="J65" s="16" t="s">
        <v>411</v>
      </c>
      <c r="K65" s="19"/>
      <c r="L65" s="19">
        <v>85000</v>
      </c>
      <c r="M65" s="16">
        <f t="shared" si="27"/>
        <v>0</v>
      </c>
      <c r="N65" s="17"/>
      <c r="O65" s="20" t="s">
        <v>234</v>
      </c>
      <c r="P65" s="21"/>
      <c r="Q65" s="16">
        <v>250</v>
      </c>
      <c r="R65" s="16">
        <f t="shared" si="28"/>
        <v>0</v>
      </c>
      <c r="S65" s="20"/>
      <c r="T65" s="20" t="s">
        <v>231</v>
      </c>
      <c r="U65" s="20"/>
      <c r="V65" s="20">
        <v>3900</v>
      </c>
      <c r="W65" s="16">
        <f t="shared" si="29"/>
        <v>0</v>
      </c>
      <c r="X65" s="16"/>
      <c r="Y65" s="16"/>
      <c r="Z65" s="16"/>
      <c r="AA65" s="16"/>
      <c r="AB65" s="16">
        <f t="shared" si="30"/>
        <v>0</v>
      </c>
      <c r="AC65" s="20"/>
      <c r="AD65" s="20" t="s">
        <v>135</v>
      </c>
      <c r="AE65" s="20"/>
      <c r="AF65" s="20">
        <v>6500</v>
      </c>
      <c r="AG65" s="16">
        <f t="shared" si="31"/>
        <v>0</v>
      </c>
      <c r="AH65" s="16"/>
      <c r="AI65" s="16" t="s">
        <v>412</v>
      </c>
      <c r="AJ65" s="22"/>
      <c r="AK65" s="16">
        <v>10000</v>
      </c>
      <c r="AL65" s="16">
        <f t="shared" si="32"/>
        <v>0</v>
      </c>
      <c r="AM65" s="16"/>
      <c r="AN65" s="16"/>
      <c r="AO65" s="16"/>
      <c r="AP65" s="16"/>
      <c r="AQ65" s="16">
        <f t="shared" si="33"/>
        <v>0</v>
      </c>
      <c r="AR65" s="16"/>
      <c r="AS65" s="20" t="s">
        <v>312</v>
      </c>
      <c r="AT65" s="20"/>
      <c r="AU65" s="16">
        <v>12000</v>
      </c>
      <c r="AV65" s="16">
        <f t="shared" si="34"/>
        <v>0</v>
      </c>
      <c r="AW65" s="16"/>
      <c r="AX65" s="16"/>
      <c r="AY65" s="16"/>
      <c r="AZ65" s="16"/>
      <c r="BA65" s="16">
        <f t="shared" si="35"/>
        <v>0</v>
      </c>
      <c r="BB65" s="20"/>
      <c r="BC65" s="20" t="s">
        <v>245</v>
      </c>
      <c r="BD65" s="17">
        <v>1</v>
      </c>
      <c r="BE65" s="17">
        <v>10000</v>
      </c>
      <c r="BF65" s="16">
        <f t="shared" si="36"/>
        <v>10000</v>
      </c>
      <c r="BG65" s="20"/>
      <c r="BH65" s="20" t="s">
        <v>413</v>
      </c>
      <c r="BI65" s="20"/>
      <c r="BJ65" s="20">
        <v>250</v>
      </c>
      <c r="BK65" s="16">
        <f t="shared" si="37"/>
        <v>0</v>
      </c>
      <c r="BL65" s="16"/>
      <c r="BM65" s="16" t="s">
        <v>198</v>
      </c>
      <c r="BN65" s="16"/>
      <c r="BO65" s="16">
        <v>22000</v>
      </c>
      <c r="BP65" s="16">
        <f t="shared" si="38"/>
        <v>0</v>
      </c>
      <c r="BQ65" s="16"/>
      <c r="BR65" s="16"/>
      <c r="BS65" s="16"/>
      <c r="BT65" s="16"/>
      <c r="BU65" s="16">
        <f t="shared" si="50"/>
        <v>0</v>
      </c>
      <c r="BV65" s="16"/>
      <c r="BW65" s="16"/>
      <c r="BX65" s="16"/>
      <c r="BY65" s="16"/>
      <c r="BZ65" s="2">
        <f t="shared" si="39"/>
        <v>0</v>
      </c>
      <c r="CA65" s="16"/>
      <c r="CB65" s="16"/>
      <c r="CC65" s="16"/>
      <c r="CD65" s="16"/>
      <c r="CE65" s="16">
        <f t="shared" si="40"/>
        <v>0</v>
      </c>
      <c r="CF65" s="16"/>
      <c r="CG65" s="16"/>
      <c r="CH65" s="16"/>
      <c r="CI65" s="23"/>
      <c r="CJ65" s="23">
        <f t="shared" si="41"/>
        <v>0</v>
      </c>
      <c r="CK65" s="20"/>
      <c r="CL65" s="20"/>
      <c r="CM65" s="20"/>
      <c r="CN65" s="20"/>
      <c r="CO65" s="23">
        <f t="shared" si="42"/>
        <v>0</v>
      </c>
      <c r="CP65" s="16"/>
      <c r="CQ65" s="20" t="s">
        <v>226</v>
      </c>
      <c r="CR65" s="17"/>
      <c r="CS65" s="17">
        <v>2500</v>
      </c>
      <c r="CT65" s="23">
        <f t="shared" si="43"/>
        <v>0</v>
      </c>
      <c r="CU65" s="20"/>
      <c r="CV65" s="20"/>
      <c r="CW65" s="20"/>
      <c r="CX65" s="20"/>
      <c r="CY65" s="23">
        <f t="shared" si="51"/>
        <v>0</v>
      </c>
      <c r="CZ65" s="20"/>
      <c r="DA65" s="20" t="s">
        <v>88</v>
      </c>
      <c r="DB65" s="20"/>
      <c r="DC65" s="20">
        <v>2500</v>
      </c>
      <c r="DD65" s="23">
        <f t="shared" si="45"/>
        <v>0</v>
      </c>
      <c r="DE65" s="16"/>
      <c r="DF65" s="16"/>
      <c r="DG65" s="16"/>
      <c r="DH65" s="16"/>
      <c r="DI65" s="16">
        <f t="shared" si="46"/>
        <v>0</v>
      </c>
      <c r="DJ65" s="20"/>
      <c r="DK65" s="20"/>
      <c r="DL65" s="20"/>
      <c r="DM65" s="20"/>
      <c r="DN65" s="16">
        <f t="shared" si="47"/>
        <v>0</v>
      </c>
      <c r="DO65" s="20"/>
      <c r="DP65" s="20" t="s">
        <v>51</v>
      </c>
      <c r="DQ65" s="20"/>
      <c r="DR65" s="20">
        <v>100</v>
      </c>
      <c r="DS65" s="16">
        <f t="shared" si="48"/>
        <v>0</v>
      </c>
      <c r="DT65" s="20"/>
      <c r="DU65" s="43"/>
      <c r="DV65" s="20"/>
      <c r="DW65" s="20"/>
    </row>
    <row r="66" spans="1:128" s="2" customFormat="1" x14ac:dyDescent="0.3">
      <c r="A66" s="20"/>
      <c r="B66" s="16"/>
      <c r="C66" s="16"/>
      <c r="D66" s="17"/>
      <c r="E66" s="20"/>
      <c r="F66" s="17"/>
      <c r="G66" s="17"/>
      <c r="H66" s="16">
        <f t="shared" si="26"/>
        <v>0</v>
      </c>
      <c r="I66" s="19"/>
      <c r="M66" s="16">
        <f>SUM(K65*L65)</f>
        <v>0</v>
      </c>
      <c r="N66" s="17"/>
      <c r="O66" s="20" t="s">
        <v>385</v>
      </c>
      <c r="P66" s="20"/>
      <c r="Q66" s="16">
        <v>5000</v>
      </c>
      <c r="R66" s="16">
        <f t="shared" si="28"/>
        <v>0</v>
      </c>
      <c r="S66" s="20"/>
      <c r="T66" s="20" t="s">
        <v>343</v>
      </c>
      <c r="U66" s="20"/>
      <c r="V66" s="20">
        <v>250</v>
      </c>
      <c r="W66" s="16">
        <f t="shared" si="29"/>
        <v>0</v>
      </c>
      <c r="X66" s="16"/>
      <c r="Y66" s="16"/>
      <c r="Z66" s="16"/>
      <c r="AA66" s="16"/>
      <c r="AB66" s="16">
        <f t="shared" si="30"/>
        <v>0</v>
      </c>
      <c r="AC66" s="20"/>
      <c r="AD66" s="20" t="s">
        <v>286</v>
      </c>
      <c r="AE66" s="20"/>
      <c r="AF66" s="20">
        <v>15000</v>
      </c>
      <c r="AG66" s="16">
        <f t="shared" si="31"/>
        <v>0</v>
      </c>
      <c r="AH66" s="16"/>
      <c r="AI66" s="16" t="s">
        <v>253</v>
      </c>
      <c r="AJ66" s="22"/>
      <c r="AK66" s="16">
        <v>15000</v>
      </c>
      <c r="AL66" s="16">
        <f t="shared" si="32"/>
        <v>0</v>
      </c>
      <c r="AM66" s="16"/>
      <c r="AN66" s="16"/>
      <c r="AO66" s="16"/>
      <c r="AP66" s="16"/>
      <c r="AQ66" s="16">
        <f t="shared" si="33"/>
        <v>0</v>
      </c>
      <c r="AR66" s="16"/>
      <c r="AS66" s="16" t="s">
        <v>201</v>
      </c>
      <c r="AT66" s="16"/>
      <c r="AU66" s="16">
        <v>2500</v>
      </c>
      <c r="AV66" s="16">
        <f t="shared" si="34"/>
        <v>0</v>
      </c>
      <c r="AW66" s="16"/>
      <c r="AX66" s="16"/>
      <c r="AY66" s="16"/>
      <c r="AZ66" s="16"/>
      <c r="BA66" s="16">
        <f t="shared" si="35"/>
        <v>0</v>
      </c>
      <c r="BB66" s="20"/>
      <c r="BC66" s="20" t="s">
        <v>103</v>
      </c>
      <c r="BD66" s="17"/>
      <c r="BE66" s="17">
        <v>1000</v>
      </c>
      <c r="BF66" s="16">
        <f t="shared" si="36"/>
        <v>0</v>
      </c>
      <c r="BG66" s="20"/>
      <c r="BH66" s="20" t="s">
        <v>51</v>
      </c>
      <c r="BI66" s="20"/>
      <c r="BJ66" s="20">
        <v>100</v>
      </c>
      <c r="BK66" s="16">
        <f t="shared" si="37"/>
        <v>0</v>
      </c>
      <c r="BL66" s="16"/>
      <c r="BM66" s="16" t="s">
        <v>199</v>
      </c>
      <c r="BN66" s="16"/>
      <c r="BO66" s="16">
        <v>15000</v>
      </c>
      <c r="BP66" s="16">
        <f t="shared" si="38"/>
        <v>0</v>
      </c>
      <c r="BQ66" s="16"/>
      <c r="BR66" s="16"/>
      <c r="BS66" s="16"/>
      <c r="BT66" s="16"/>
      <c r="BU66" s="16">
        <f t="shared" si="50"/>
        <v>0</v>
      </c>
      <c r="BV66" s="16"/>
      <c r="BW66" s="16"/>
      <c r="BX66" s="16"/>
      <c r="BY66" s="16"/>
      <c r="BZ66" s="2">
        <f t="shared" si="39"/>
        <v>0</v>
      </c>
      <c r="CA66" s="16"/>
      <c r="CB66" s="16"/>
      <c r="CC66" s="16"/>
      <c r="CD66" s="16"/>
      <c r="CE66" s="16">
        <f t="shared" si="40"/>
        <v>0</v>
      </c>
      <c r="CF66" s="16"/>
      <c r="CG66" s="16"/>
      <c r="CH66" s="16"/>
      <c r="CI66" s="23"/>
      <c r="CJ66" s="23">
        <f t="shared" si="41"/>
        <v>0</v>
      </c>
      <c r="CK66" s="20"/>
      <c r="CL66" s="20"/>
      <c r="CM66" s="20"/>
      <c r="CN66" s="20"/>
      <c r="CO66" s="23">
        <f t="shared" si="42"/>
        <v>0</v>
      </c>
      <c r="CP66" s="16"/>
      <c r="CQ66" s="16" t="s">
        <v>414</v>
      </c>
      <c r="CR66" s="16"/>
      <c r="CS66" s="16">
        <v>15000</v>
      </c>
      <c r="CT66" s="23">
        <f t="shared" si="43"/>
        <v>0</v>
      </c>
      <c r="CU66" s="20"/>
      <c r="CV66" s="20"/>
      <c r="CW66" s="20"/>
      <c r="CX66" s="20"/>
      <c r="CY66" s="23">
        <f t="shared" si="51"/>
        <v>0</v>
      </c>
      <c r="CZ66" s="20"/>
      <c r="DA66" s="20" t="s">
        <v>324</v>
      </c>
      <c r="DB66" s="20"/>
      <c r="DC66" s="20">
        <v>17000</v>
      </c>
      <c r="DD66" s="23">
        <f t="shared" si="45"/>
        <v>0</v>
      </c>
      <c r="DE66" s="16"/>
      <c r="DF66" s="16"/>
      <c r="DG66" s="16"/>
      <c r="DH66" s="16"/>
      <c r="DI66" s="16">
        <f t="shared" si="46"/>
        <v>0</v>
      </c>
      <c r="DJ66" s="20"/>
      <c r="DK66" s="20"/>
      <c r="DL66" s="20"/>
      <c r="DM66" s="20"/>
      <c r="DN66" s="16">
        <f t="shared" si="47"/>
        <v>0</v>
      </c>
      <c r="DO66" s="20"/>
      <c r="DP66" s="20" t="s">
        <v>88</v>
      </c>
      <c r="DQ66" s="20"/>
      <c r="DR66" s="20">
        <v>2500</v>
      </c>
      <c r="DS66" s="16">
        <f t="shared" si="48"/>
        <v>0</v>
      </c>
      <c r="DT66" s="20"/>
      <c r="DU66" s="20"/>
      <c r="DV66" s="44"/>
      <c r="DW66" s="20"/>
      <c r="DX66" s="24">
        <f>DW66*DV66</f>
        <v>0</v>
      </c>
    </row>
    <row r="67" spans="1:128" s="2" customFormat="1" x14ac:dyDescent="0.3">
      <c r="A67" s="28"/>
      <c r="B67" s="29" t="s">
        <v>292</v>
      </c>
      <c r="C67" s="29">
        <f>SUM(C40:C66)</f>
        <v>2194050</v>
      </c>
      <c r="D67" s="30" t="s">
        <v>293</v>
      </c>
      <c r="E67" s="30"/>
      <c r="F67" s="30"/>
      <c r="G67" s="30"/>
      <c r="H67" s="31">
        <f>SUM(H40:H66)</f>
        <v>396350</v>
      </c>
      <c r="I67" s="32" t="s">
        <v>293</v>
      </c>
      <c r="J67" s="32"/>
      <c r="K67" s="32"/>
      <c r="L67" s="32"/>
      <c r="M67" s="29">
        <f>SUM(M40:M66)</f>
        <v>0</v>
      </c>
      <c r="N67" s="33" t="s">
        <v>293</v>
      </c>
      <c r="O67" s="33"/>
      <c r="P67" s="33"/>
      <c r="Q67" s="34"/>
      <c r="R67" s="29">
        <f>SUM(R40:R66)</f>
        <v>0</v>
      </c>
      <c r="S67" s="30" t="s">
        <v>293</v>
      </c>
      <c r="T67" s="30"/>
      <c r="U67" s="30"/>
      <c r="V67" s="30"/>
      <c r="W67" s="31">
        <f>SUM(W40:W66)</f>
        <v>0</v>
      </c>
      <c r="X67" s="32" t="s">
        <v>293</v>
      </c>
      <c r="Y67" s="32"/>
      <c r="Z67" s="32"/>
      <c r="AA67" s="32"/>
      <c r="AB67" s="29">
        <f>SUM(AB40:AB66)</f>
        <v>0</v>
      </c>
      <c r="AC67" s="30" t="s">
        <v>293</v>
      </c>
      <c r="AD67" s="30"/>
      <c r="AE67" s="30"/>
      <c r="AF67" s="30"/>
      <c r="AG67" s="31">
        <f>SUM(AG40:AG66)</f>
        <v>0</v>
      </c>
      <c r="AH67" s="32" t="s">
        <v>293</v>
      </c>
      <c r="AI67" s="32"/>
      <c r="AJ67" s="32"/>
      <c r="AK67" s="32"/>
      <c r="AL67" s="29">
        <f>SUM(AL40:AL66)</f>
        <v>0</v>
      </c>
      <c r="AM67" s="32" t="s">
        <v>293</v>
      </c>
      <c r="AN67" s="32"/>
      <c r="AO67" s="32"/>
      <c r="AP67" s="32"/>
      <c r="AQ67" s="29">
        <f>SUM(AQ40:AQ66)</f>
        <v>0</v>
      </c>
      <c r="AR67" s="32" t="s">
        <v>293</v>
      </c>
      <c r="AS67" s="32"/>
      <c r="AT67" s="32"/>
      <c r="AU67" s="32"/>
      <c r="AV67" s="29">
        <f>SUM(AV40:AV66)</f>
        <v>0</v>
      </c>
      <c r="AW67" s="32" t="s">
        <v>293</v>
      </c>
      <c r="AX67" s="32"/>
      <c r="AY67" s="32"/>
      <c r="AZ67" s="32"/>
      <c r="BA67" s="29">
        <f>SUM(BA40:BA66)</f>
        <v>169000</v>
      </c>
      <c r="BB67" s="30" t="s">
        <v>293</v>
      </c>
      <c r="BC67" s="30"/>
      <c r="BD67" s="30"/>
      <c r="BE67" s="30"/>
      <c r="BF67" s="31">
        <f>SUM(BF40:BF66)</f>
        <v>159500</v>
      </c>
      <c r="BG67" s="30" t="s">
        <v>293</v>
      </c>
      <c r="BH67" s="30"/>
      <c r="BI67" s="30"/>
      <c r="BJ67" s="30"/>
      <c r="BK67" s="31">
        <f>SUM(BK40:BK66)</f>
        <v>0</v>
      </c>
      <c r="BL67" s="32" t="s">
        <v>293</v>
      </c>
      <c r="BM67" s="32"/>
      <c r="BN67" s="32"/>
      <c r="BO67" s="32"/>
      <c r="BP67" s="29">
        <f>SUM(BP40:BP66)</f>
        <v>0</v>
      </c>
      <c r="BQ67" s="32" t="s">
        <v>293</v>
      </c>
      <c r="BR67" s="32"/>
      <c r="BS67" s="32"/>
      <c r="BT67" s="32"/>
      <c r="BU67" s="29">
        <f>SUM(BU40:BU66)</f>
        <v>0</v>
      </c>
      <c r="BV67" s="32" t="s">
        <v>293</v>
      </c>
      <c r="BW67" s="32"/>
      <c r="BX67" s="32"/>
      <c r="BY67" s="32"/>
      <c r="BZ67" s="29">
        <f>SUM(BZ40:BZ66)</f>
        <v>473300</v>
      </c>
      <c r="CA67" s="32" t="s">
        <v>293</v>
      </c>
      <c r="CB67" s="32"/>
      <c r="CC67" s="32"/>
      <c r="CD67" s="32"/>
      <c r="CE67" s="29">
        <f>SUM(CE40:CE66)</f>
        <v>0</v>
      </c>
      <c r="CF67" s="32" t="s">
        <v>293</v>
      </c>
      <c r="CG67" s="32"/>
      <c r="CH67" s="32"/>
      <c r="CI67" s="32"/>
      <c r="CJ67" s="29">
        <f>SUM(CJ40:CJ66)</f>
        <v>751550</v>
      </c>
      <c r="CK67" s="30" t="s">
        <v>293</v>
      </c>
      <c r="CL67" s="30"/>
      <c r="CM67" s="30"/>
      <c r="CN67" s="30"/>
      <c r="CO67" s="29">
        <f>SUM(CO40:CO66)</f>
        <v>191850</v>
      </c>
      <c r="CP67" s="32" t="s">
        <v>293</v>
      </c>
      <c r="CQ67" s="32"/>
      <c r="CR67" s="32"/>
      <c r="CS67" s="32"/>
      <c r="CT67" s="29">
        <f>SUM(CT40:CT66)</f>
        <v>0</v>
      </c>
      <c r="CU67" s="30" t="s">
        <v>293</v>
      </c>
      <c r="CV67" s="30"/>
      <c r="CW67" s="30"/>
      <c r="CX67" s="30"/>
      <c r="CY67" s="29">
        <f>SUM(CY40:CY66)</f>
        <v>0</v>
      </c>
      <c r="CZ67" s="30" t="s">
        <v>293</v>
      </c>
      <c r="DA67" s="30"/>
      <c r="DB67" s="30"/>
      <c r="DC67" s="30"/>
      <c r="DD67" s="29">
        <f>SUM(DD40:DD66)</f>
        <v>0</v>
      </c>
      <c r="DE67" s="32" t="s">
        <v>293</v>
      </c>
      <c r="DF67" s="32"/>
      <c r="DG67" s="32"/>
      <c r="DH67" s="32"/>
      <c r="DI67" s="29">
        <f>SUM(DI40:DI66)</f>
        <v>52500</v>
      </c>
      <c r="DJ67" s="30" t="s">
        <v>293</v>
      </c>
      <c r="DK67" s="30"/>
      <c r="DL67" s="30"/>
      <c r="DM67" s="30"/>
      <c r="DN67" s="29">
        <f>SUM(DN40:DN66)</f>
        <v>0</v>
      </c>
      <c r="DO67" s="33" t="s">
        <v>293</v>
      </c>
      <c r="DP67" s="35"/>
      <c r="DQ67" s="35"/>
      <c r="DR67" s="36"/>
      <c r="DS67" s="29">
        <f>SUM(DS40:DS66)</f>
        <v>0</v>
      </c>
      <c r="DT67" s="30" t="s">
        <v>293</v>
      </c>
      <c r="DU67" s="30"/>
      <c r="DV67" s="30"/>
      <c r="DW67" s="30"/>
      <c r="DX67" s="37">
        <f>SUM(DX40:DX66)</f>
        <v>0</v>
      </c>
    </row>
    <row r="68" spans="1:128" s="2" customFormat="1" ht="15" customHeight="1" x14ac:dyDescent="0.3">
      <c r="A68" s="7" t="s">
        <v>2</v>
      </c>
      <c r="B68" s="8" t="s">
        <v>3</v>
      </c>
      <c r="C68" s="9" t="s">
        <v>4</v>
      </c>
      <c r="D68" s="7" t="s">
        <v>5</v>
      </c>
      <c r="E68" s="10" t="s">
        <v>6</v>
      </c>
      <c r="F68" s="10"/>
      <c r="G68" s="10"/>
      <c r="H68" s="10"/>
      <c r="I68" s="7" t="s">
        <v>5</v>
      </c>
      <c r="J68" s="10" t="s">
        <v>7</v>
      </c>
      <c r="K68" s="10"/>
      <c r="L68" s="10"/>
      <c r="M68" s="10"/>
      <c r="N68" s="7" t="s">
        <v>5</v>
      </c>
      <c r="O68" s="10" t="s">
        <v>8</v>
      </c>
      <c r="P68" s="10"/>
      <c r="Q68" s="10"/>
      <c r="R68" s="10"/>
      <c r="S68" s="7" t="s">
        <v>5</v>
      </c>
      <c r="T68" s="10" t="s">
        <v>9</v>
      </c>
      <c r="U68" s="10"/>
      <c r="V68" s="10"/>
      <c r="W68" s="10"/>
      <c r="X68" s="7" t="s">
        <v>5</v>
      </c>
      <c r="Y68" s="10" t="s">
        <v>10</v>
      </c>
      <c r="Z68" s="10"/>
      <c r="AA68" s="10"/>
      <c r="AB68" s="10"/>
      <c r="AC68" s="7" t="s">
        <v>5</v>
      </c>
      <c r="AD68" s="40" t="s">
        <v>11</v>
      </c>
      <c r="AE68" s="40"/>
      <c r="AF68" s="40"/>
      <c r="AG68" s="40"/>
      <c r="AH68" s="7" t="s">
        <v>5</v>
      </c>
      <c r="AI68" s="10" t="s">
        <v>12</v>
      </c>
      <c r="AJ68" s="10"/>
      <c r="AK68" s="10"/>
      <c r="AL68" s="10"/>
      <c r="AM68" s="7" t="s">
        <v>5</v>
      </c>
      <c r="AN68" s="10" t="s">
        <v>13</v>
      </c>
      <c r="AO68" s="10"/>
      <c r="AP68" s="10"/>
      <c r="AQ68" s="10"/>
      <c r="AR68" s="7" t="s">
        <v>5</v>
      </c>
      <c r="AS68" s="10" t="s">
        <v>14</v>
      </c>
      <c r="AT68" s="10"/>
      <c r="AU68" s="10"/>
      <c r="AV68" s="10"/>
      <c r="AW68" s="7" t="s">
        <v>5</v>
      </c>
      <c r="AX68" s="10" t="s">
        <v>15</v>
      </c>
      <c r="AY68" s="10"/>
      <c r="AZ68" s="10"/>
      <c r="BA68" s="10"/>
      <c r="BB68" s="7" t="s">
        <v>5</v>
      </c>
      <c r="BC68" s="10" t="s">
        <v>16</v>
      </c>
      <c r="BD68" s="10"/>
      <c r="BE68" s="10"/>
      <c r="BF68" s="10"/>
      <c r="BG68" s="7" t="s">
        <v>5</v>
      </c>
      <c r="BH68" s="10" t="s">
        <v>17</v>
      </c>
      <c r="BI68" s="10"/>
      <c r="BJ68" s="10"/>
      <c r="BK68" s="10"/>
      <c r="BL68" s="7" t="s">
        <v>5</v>
      </c>
      <c r="BM68" s="10" t="s">
        <v>18</v>
      </c>
      <c r="BN68" s="10"/>
      <c r="BO68" s="10"/>
      <c r="BP68" s="10"/>
      <c r="BQ68" s="7" t="s">
        <v>5</v>
      </c>
      <c r="BR68" s="10" t="s">
        <v>19</v>
      </c>
      <c r="BS68" s="10"/>
      <c r="BT68" s="10"/>
      <c r="BU68" s="10"/>
      <c r="BV68" s="7" t="s">
        <v>5</v>
      </c>
      <c r="BW68" s="10" t="s">
        <v>20</v>
      </c>
      <c r="BX68" s="10"/>
      <c r="BY68" s="10"/>
      <c r="BZ68" s="10"/>
      <c r="CA68" s="7" t="s">
        <v>5</v>
      </c>
      <c r="CB68" s="10" t="s">
        <v>21</v>
      </c>
      <c r="CC68" s="10"/>
      <c r="CD68" s="10"/>
      <c r="CE68" s="10"/>
      <c r="CF68" s="7" t="s">
        <v>5</v>
      </c>
      <c r="CG68" s="38" t="s">
        <v>22</v>
      </c>
      <c r="CH68" s="38"/>
      <c r="CI68" s="38"/>
      <c r="CJ68" s="38"/>
      <c r="CK68" s="7" t="s">
        <v>5</v>
      </c>
      <c r="CL68" s="10" t="s">
        <v>23</v>
      </c>
      <c r="CM68" s="10"/>
      <c r="CN68" s="10"/>
      <c r="CO68" s="10"/>
      <c r="CP68" s="7" t="s">
        <v>5</v>
      </c>
      <c r="CQ68" s="10" t="s">
        <v>24</v>
      </c>
      <c r="CR68" s="10"/>
      <c r="CS68" s="10"/>
      <c r="CT68" s="10"/>
      <c r="CU68" s="7" t="s">
        <v>5</v>
      </c>
      <c r="CV68" s="10" t="s">
        <v>25</v>
      </c>
      <c r="CW68" s="10"/>
      <c r="CX68" s="10"/>
      <c r="CY68" s="10"/>
      <c r="CZ68" s="7" t="s">
        <v>5</v>
      </c>
      <c r="DA68" s="10" t="s">
        <v>26</v>
      </c>
      <c r="DB68" s="10"/>
      <c r="DC68" s="10"/>
      <c r="DD68" s="10"/>
      <c r="DE68" s="7" t="s">
        <v>5</v>
      </c>
      <c r="DF68" s="10" t="s">
        <v>27</v>
      </c>
      <c r="DG68" s="10"/>
      <c r="DH68" s="10"/>
      <c r="DI68" s="10"/>
      <c r="DJ68" s="7" t="s">
        <v>5</v>
      </c>
      <c r="DK68" s="10" t="s">
        <v>28</v>
      </c>
      <c r="DL68" s="10"/>
      <c r="DM68" s="10"/>
      <c r="DN68" s="10"/>
      <c r="DO68" s="7" t="s">
        <v>5</v>
      </c>
      <c r="DP68" s="38" t="s">
        <v>29</v>
      </c>
      <c r="DQ68" s="39"/>
      <c r="DR68" s="39"/>
      <c r="DS68" s="40"/>
      <c r="DT68" s="7" t="s">
        <v>5</v>
      </c>
      <c r="DU68" s="10" t="s">
        <v>30</v>
      </c>
      <c r="DV68" s="10"/>
      <c r="DW68" s="10"/>
      <c r="DX68" s="10"/>
    </row>
    <row r="69" spans="1:128" s="2" customFormat="1" ht="28.8" x14ac:dyDescent="0.3">
      <c r="A69" s="7"/>
      <c r="B69" s="8"/>
      <c r="C69" s="9"/>
      <c r="D69" s="7"/>
      <c r="E69" s="11" t="s">
        <v>31</v>
      </c>
      <c r="F69" s="12" t="s">
        <v>32</v>
      </c>
      <c r="G69" s="12" t="s">
        <v>33</v>
      </c>
      <c r="H69" s="13" t="s">
        <v>34</v>
      </c>
      <c r="I69" s="7"/>
      <c r="J69" s="11" t="s">
        <v>31</v>
      </c>
      <c r="K69" s="14" t="s">
        <v>32</v>
      </c>
      <c r="L69" s="14" t="s">
        <v>33</v>
      </c>
      <c r="M69" s="13" t="s">
        <v>34</v>
      </c>
      <c r="N69" s="7"/>
      <c r="O69" s="13" t="s">
        <v>31</v>
      </c>
      <c r="P69" s="14" t="s">
        <v>32</v>
      </c>
      <c r="Q69" s="14" t="s">
        <v>33</v>
      </c>
      <c r="R69" s="13" t="s">
        <v>34</v>
      </c>
      <c r="S69" s="7"/>
      <c r="T69" s="13" t="s">
        <v>31</v>
      </c>
      <c r="U69" s="14" t="s">
        <v>32</v>
      </c>
      <c r="V69" s="14" t="s">
        <v>35</v>
      </c>
      <c r="W69" s="13" t="s">
        <v>37</v>
      </c>
      <c r="X69" s="7"/>
      <c r="Y69" s="13" t="s">
        <v>31</v>
      </c>
      <c r="Z69" s="14" t="s">
        <v>32</v>
      </c>
      <c r="AA69" s="14"/>
      <c r="AB69" s="13" t="s">
        <v>34</v>
      </c>
      <c r="AC69" s="7"/>
      <c r="AD69" s="45" t="s">
        <v>31</v>
      </c>
      <c r="AE69" s="14" t="s">
        <v>32</v>
      </c>
      <c r="AF69" s="14" t="s">
        <v>33</v>
      </c>
      <c r="AG69" s="13" t="s">
        <v>37</v>
      </c>
      <c r="AH69" s="7"/>
      <c r="AI69" s="13" t="s">
        <v>31</v>
      </c>
      <c r="AJ69" s="12" t="s">
        <v>32</v>
      </c>
      <c r="AK69" s="14" t="s">
        <v>35</v>
      </c>
      <c r="AL69" s="13" t="s">
        <v>34</v>
      </c>
      <c r="AM69" s="7"/>
      <c r="AN69" s="13" t="s">
        <v>31</v>
      </c>
      <c r="AO69" s="14" t="s">
        <v>32</v>
      </c>
      <c r="AP69" s="14" t="s">
        <v>33</v>
      </c>
      <c r="AQ69" s="13" t="s">
        <v>34</v>
      </c>
      <c r="AR69" s="7"/>
      <c r="AS69" s="13" t="s">
        <v>31</v>
      </c>
      <c r="AT69" s="14" t="s">
        <v>32</v>
      </c>
      <c r="AU69" s="14" t="s">
        <v>35</v>
      </c>
      <c r="AV69" s="13" t="s">
        <v>34</v>
      </c>
      <c r="AW69" s="7"/>
      <c r="AX69" s="13" t="s">
        <v>31</v>
      </c>
      <c r="AY69" s="14" t="s">
        <v>32</v>
      </c>
      <c r="AZ69" s="14"/>
      <c r="BA69" s="13" t="s">
        <v>34</v>
      </c>
      <c r="BB69" s="7"/>
      <c r="BC69" s="13" t="s">
        <v>31</v>
      </c>
      <c r="BD69" s="12" t="s">
        <v>32</v>
      </c>
      <c r="BE69" s="12" t="s">
        <v>35</v>
      </c>
      <c r="BF69" s="13" t="s">
        <v>37</v>
      </c>
      <c r="BG69" s="7"/>
      <c r="BH69" s="13" t="s">
        <v>31</v>
      </c>
      <c r="BI69" s="14" t="s">
        <v>32</v>
      </c>
      <c r="BJ69" s="14" t="s">
        <v>35</v>
      </c>
      <c r="BK69" s="13" t="s">
        <v>34</v>
      </c>
      <c r="BL69" s="7"/>
      <c r="BM69" s="13" t="s">
        <v>31</v>
      </c>
      <c r="BN69" s="14" t="s">
        <v>32</v>
      </c>
      <c r="BO69" s="14" t="s">
        <v>35</v>
      </c>
      <c r="BP69" s="13" t="s">
        <v>34</v>
      </c>
      <c r="BQ69" s="7"/>
      <c r="BR69" s="13" t="s">
        <v>31</v>
      </c>
      <c r="BS69" s="14" t="s">
        <v>32</v>
      </c>
      <c r="BT69" s="14" t="s">
        <v>33</v>
      </c>
      <c r="BU69" s="13" t="s">
        <v>34</v>
      </c>
      <c r="BV69" s="7"/>
      <c r="BW69" s="13" t="s">
        <v>31</v>
      </c>
      <c r="BX69" s="14" t="s">
        <v>32</v>
      </c>
      <c r="BY69" s="14" t="s">
        <v>35</v>
      </c>
      <c r="BZ69" s="13" t="s">
        <v>34</v>
      </c>
      <c r="CA69" s="7"/>
      <c r="CB69" s="13" t="s">
        <v>31</v>
      </c>
      <c r="CC69" s="14" t="s">
        <v>32</v>
      </c>
      <c r="CD69" s="46" t="s">
        <v>33</v>
      </c>
      <c r="CE69" s="13" t="s">
        <v>34</v>
      </c>
      <c r="CF69" s="7"/>
      <c r="CG69" s="13" t="s">
        <v>31</v>
      </c>
      <c r="CH69" s="14" t="s">
        <v>32</v>
      </c>
      <c r="CI69" s="46" t="s">
        <v>33</v>
      </c>
      <c r="CJ69" s="41" t="s">
        <v>34</v>
      </c>
      <c r="CK69" s="7"/>
      <c r="CL69" s="13" t="s">
        <v>31</v>
      </c>
      <c r="CM69" s="12" t="s">
        <v>32</v>
      </c>
      <c r="CN69" s="12" t="s">
        <v>35</v>
      </c>
      <c r="CO69" s="13" t="s">
        <v>37</v>
      </c>
      <c r="CP69" s="7"/>
      <c r="CQ69" s="13" t="s">
        <v>31</v>
      </c>
      <c r="CR69" s="12" t="s">
        <v>32</v>
      </c>
      <c r="CS69" s="12" t="s">
        <v>35</v>
      </c>
      <c r="CT69" s="13" t="s">
        <v>37</v>
      </c>
      <c r="CU69" s="7"/>
      <c r="CV69" s="13" t="s">
        <v>31</v>
      </c>
      <c r="CW69" s="12" t="s">
        <v>32</v>
      </c>
      <c r="CX69" s="12" t="s">
        <v>35</v>
      </c>
      <c r="CY69" s="13" t="s">
        <v>37</v>
      </c>
      <c r="CZ69" s="7"/>
      <c r="DA69" s="13" t="s">
        <v>31</v>
      </c>
      <c r="DB69" s="12" t="s">
        <v>32</v>
      </c>
      <c r="DC69" s="12" t="s">
        <v>35</v>
      </c>
      <c r="DD69" s="13" t="s">
        <v>37</v>
      </c>
      <c r="DE69" s="7"/>
      <c r="DF69" s="13" t="s">
        <v>31</v>
      </c>
      <c r="DG69" s="12" t="s">
        <v>32</v>
      </c>
      <c r="DH69" s="12" t="s">
        <v>35</v>
      </c>
      <c r="DI69" s="13" t="s">
        <v>37</v>
      </c>
      <c r="DJ69" s="7"/>
      <c r="DK69" s="13" t="s">
        <v>31</v>
      </c>
      <c r="DL69" s="12" t="s">
        <v>32</v>
      </c>
      <c r="DM69" s="12" t="s">
        <v>35</v>
      </c>
      <c r="DN69" s="13" t="s">
        <v>37</v>
      </c>
      <c r="DO69" s="7"/>
      <c r="DP69" s="13" t="s">
        <v>31</v>
      </c>
      <c r="DQ69" s="12" t="s">
        <v>32</v>
      </c>
      <c r="DR69" s="12" t="s">
        <v>35</v>
      </c>
      <c r="DS69" s="13" t="s">
        <v>37</v>
      </c>
      <c r="DT69" s="7"/>
      <c r="DU69" s="13" t="s">
        <v>31</v>
      </c>
      <c r="DV69" s="12" t="s">
        <v>32</v>
      </c>
      <c r="DW69" s="12" t="s">
        <v>35</v>
      </c>
      <c r="DX69" s="13" t="s">
        <v>37</v>
      </c>
    </row>
    <row r="70" spans="1:128" s="2" customFormat="1" x14ac:dyDescent="0.3">
      <c r="A70" s="15">
        <v>46279</v>
      </c>
      <c r="B70" s="16" t="str">
        <f>E68</f>
        <v>KASIR</v>
      </c>
      <c r="C70" s="16">
        <f>H97</f>
        <v>0</v>
      </c>
      <c r="D70" s="17"/>
      <c r="E70" s="18" t="s">
        <v>38</v>
      </c>
      <c r="F70" s="17"/>
      <c r="G70" s="17">
        <v>50000</v>
      </c>
      <c r="H70" s="16">
        <f t="shared" ref="H70:H96" si="52">SUM(F70*G70)</f>
        <v>0</v>
      </c>
      <c r="I70" s="19"/>
      <c r="J70" s="16" t="s">
        <v>39</v>
      </c>
      <c r="K70" s="27"/>
      <c r="L70" s="16">
        <v>450</v>
      </c>
      <c r="M70" s="16">
        <f t="shared" ref="M70:M96" si="53">SUM(K70*L70)</f>
        <v>0</v>
      </c>
      <c r="N70" s="17">
        <v>1</v>
      </c>
      <c r="O70" s="20" t="s">
        <v>40</v>
      </c>
      <c r="P70" s="21"/>
      <c r="Q70" s="19">
        <v>2000</v>
      </c>
      <c r="R70" s="16">
        <f t="shared" ref="R70:R96" si="54">SUM(P70*Q70)</f>
        <v>0</v>
      </c>
      <c r="S70" s="20"/>
      <c r="T70" s="20" t="s">
        <v>39</v>
      </c>
      <c r="U70" s="20"/>
      <c r="V70" s="16">
        <v>450</v>
      </c>
      <c r="W70" s="16">
        <f t="shared" ref="W70:W96" si="55">SUM(U70*V70)</f>
        <v>0</v>
      </c>
      <c r="X70" s="16"/>
      <c r="Y70" s="16" t="s">
        <v>415</v>
      </c>
      <c r="Z70" s="27"/>
      <c r="AA70" s="16">
        <v>28000</v>
      </c>
      <c r="AB70" s="16">
        <f t="shared" ref="AB70:AB96" si="56">SUM(Z70*AA70)</f>
        <v>0</v>
      </c>
      <c r="AC70" s="20"/>
      <c r="AD70" s="20" t="s">
        <v>49</v>
      </c>
      <c r="AE70" s="20"/>
      <c r="AF70" s="16">
        <v>100</v>
      </c>
      <c r="AG70" s="16">
        <f t="shared" ref="AG70:AG96" si="57">SUM(AE70*AF70)</f>
        <v>0</v>
      </c>
      <c r="AH70" s="16">
        <v>1</v>
      </c>
      <c r="AI70" s="16" t="s">
        <v>43</v>
      </c>
      <c r="AJ70" s="22"/>
      <c r="AK70" s="19">
        <v>1550</v>
      </c>
      <c r="AL70" s="16">
        <f t="shared" ref="AL70:AL96" si="58">SUM(AJ70*AK70)</f>
        <v>0</v>
      </c>
      <c r="AM70" s="16"/>
      <c r="AN70" s="20" t="s">
        <v>44</v>
      </c>
      <c r="AO70" s="21"/>
      <c r="AP70" s="20">
        <v>8000</v>
      </c>
      <c r="AQ70" s="16">
        <f t="shared" ref="AQ70:AQ81" si="59">AP70*AO70</f>
        <v>0</v>
      </c>
      <c r="AR70" s="16"/>
      <c r="AS70" s="16" t="s">
        <v>45</v>
      </c>
      <c r="AT70" s="27"/>
      <c r="AU70" s="16">
        <v>46500</v>
      </c>
      <c r="AV70" s="16">
        <f t="shared" ref="AV70:AV96" si="60">SUM(AT70*AU70)</f>
        <v>0</v>
      </c>
      <c r="AW70" s="16"/>
      <c r="AX70" s="16" t="s">
        <v>46</v>
      </c>
      <c r="AY70" s="16"/>
      <c r="AZ70" s="16">
        <v>14000</v>
      </c>
      <c r="BA70" s="16">
        <f t="shared" ref="BA70:BA96" si="61">SUM(AY70*AZ70)</f>
        <v>0</v>
      </c>
      <c r="BB70" s="20"/>
      <c r="BC70" s="20" t="s">
        <v>404</v>
      </c>
      <c r="BD70" s="17"/>
      <c r="BE70" s="17">
        <v>250</v>
      </c>
      <c r="BF70" s="16">
        <f t="shared" ref="BF70:BF96" si="62">SUM(BD70*BE70)</f>
        <v>0</v>
      </c>
      <c r="BG70" s="20"/>
      <c r="BH70" s="20" t="s">
        <v>39</v>
      </c>
      <c r="BI70" s="20"/>
      <c r="BJ70" s="20">
        <v>450</v>
      </c>
      <c r="BK70" s="16">
        <f>SUM(BI70*BJ70)</f>
        <v>0</v>
      </c>
      <c r="BL70" s="16">
        <v>1</v>
      </c>
      <c r="BM70" s="16" t="s">
        <v>39</v>
      </c>
      <c r="BN70" s="16"/>
      <c r="BO70" s="16">
        <v>450</v>
      </c>
      <c r="BP70" s="16">
        <f t="shared" ref="BP70:BP96" si="63">SUM(BN70*BO70)</f>
        <v>0</v>
      </c>
      <c r="BQ70" s="16"/>
      <c r="BR70" s="16" t="s">
        <v>46</v>
      </c>
      <c r="BS70" s="16"/>
      <c r="BT70" s="16">
        <v>11200</v>
      </c>
      <c r="BU70" s="16">
        <f t="shared" ref="BU70:BU96" si="64">SUM(BS70*BT70)</f>
        <v>0</v>
      </c>
      <c r="BV70" s="16"/>
      <c r="BW70" s="16" t="s">
        <v>48</v>
      </c>
      <c r="BX70" s="19"/>
      <c r="BY70" s="16">
        <v>99750</v>
      </c>
      <c r="BZ70" s="16">
        <f t="shared" ref="BZ70:BZ96" si="65">SUM(BX70*BY70)</f>
        <v>0</v>
      </c>
      <c r="CA70" s="16"/>
      <c r="CB70" s="16" t="s">
        <v>49</v>
      </c>
      <c r="CC70" s="16"/>
      <c r="CD70" s="16">
        <v>50000</v>
      </c>
      <c r="CE70" s="16">
        <f t="shared" ref="CE70:CE96" si="66">SUM(CC70*CD70)</f>
        <v>0</v>
      </c>
      <c r="CF70" s="16"/>
      <c r="CG70" s="16" t="s">
        <v>49</v>
      </c>
      <c r="CH70" s="16"/>
      <c r="CI70" s="23">
        <v>50000</v>
      </c>
      <c r="CJ70" s="23">
        <f t="shared" ref="CJ70:CJ96" si="67">SUM(CH70*CI70)</f>
        <v>0</v>
      </c>
      <c r="CK70" s="20"/>
      <c r="CL70" s="20" t="s">
        <v>43</v>
      </c>
      <c r="CM70" s="20"/>
      <c r="CN70" s="20">
        <v>1550</v>
      </c>
      <c r="CO70" s="23">
        <f t="shared" ref="CO70:CO96" si="68">SUM(CM70*CN70)</f>
        <v>0</v>
      </c>
      <c r="CP70" s="16"/>
      <c r="CQ70" s="16" t="s">
        <v>49</v>
      </c>
      <c r="CR70" s="16"/>
      <c r="CS70" s="16">
        <v>50000</v>
      </c>
      <c r="CT70" s="23">
        <f t="shared" ref="CT70:CT96" si="69">SUM(CR70*CS70)</f>
        <v>0</v>
      </c>
      <c r="CU70" s="20"/>
      <c r="CV70" s="16" t="s">
        <v>201</v>
      </c>
      <c r="CW70" s="16"/>
      <c r="CX70" s="16">
        <v>2500</v>
      </c>
      <c r="CY70" s="23">
        <f t="shared" ref="CY70:CY96" si="70">SUM(CW70*CX70)</f>
        <v>0</v>
      </c>
      <c r="CZ70" s="20"/>
      <c r="DA70" s="20" t="s">
        <v>416</v>
      </c>
      <c r="DB70" s="20"/>
      <c r="DC70" s="20">
        <v>250</v>
      </c>
      <c r="DD70" s="23">
        <f t="shared" ref="DD70:DD96" si="71">SUM(DB70*DC70)</f>
        <v>0</v>
      </c>
      <c r="DE70" s="16"/>
      <c r="DF70" s="16" t="s">
        <v>417</v>
      </c>
      <c r="DG70" s="16"/>
      <c r="DH70" s="16">
        <v>50000</v>
      </c>
      <c r="DI70" s="16">
        <f t="shared" ref="DI70:DI96" si="72">SUM(DG70*DH70)</f>
        <v>0</v>
      </c>
      <c r="DJ70" s="20"/>
      <c r="DK70" s="20" t="s">
        <v>53</v>
      </c>
      <c r="DL70" s="20"/>
      <c r="DM70" s="20">
        <v>1000</v>
      </c>
      <c r="DN70" s="16">
        <f t="shared" ref="DN70:DN96" si="73">SUM(DL70*DM70)</f>
        <v>0</v>
      </c>
      <c r="DO70" s="20"/>
      <c r="DP70" s="20" t="s">
        <v>88</v>
      </c>
      <c r="DQ70" s="20"/>
      <c r="DR70" s="20">
        <v>2500</v>
      </c>
      <c r="DS70" s="16">
        <f t="shared" ref="DS70:DS96" si="74">SUM(DQ70*DR70)</f>
        <v>0</v>
      </c>
      <c r="DT70" s="20"/>
      <c r="DU70" s="20" t="s">
        <v>68</v>
      </c>
      <c r="DV70" s="20"/>
      <c r="DW70" s="20">
        <v>9000</v>
      </c>
      <c r="DX70" s="24">
        <f t="shared" ref="DX70:DX96" si="75">DW70*DV70</f>
        <v>0</v>
      </c>
    </row>
    <row r="71" spans="1:128" s="2" customFormat="1" x14ac:dyDescent="0.3">
      <c r="A71" s="20"/>
      <c r="B71" s="16" t="str">
        <f>J68</f>
        <v>IGD</v>
      </c>
      <c r="C71" s="16">
        <f>M97</f>
        <v>0</v>
      </c>
      <c r="D71" s="17"/>
      <c r="E71" s="20" t="s">
        <v>56</v>
      </c>
      <c r="F71" s="17"/>
      <c r="G71" s="17">
        <v>46500</v>
      </c>
      <c r="H71" s="16">
        <f t="shared" si="52"/>
        <v>0</v>
      </c>
      <c r="I71" s="19"/>
      <c r="J71" s="16" t="s">
        <v>297</v>
      </c>
      <c r="K71" s="27"/>
      <c r="L71" s="19">
        <v>350</v>
      </c>
      <c r="M71" s="16">
        <f t="shared" si="53"/>
        <v>0</v>
      </c>
      <c r="N71" s="17">
        <v>2</v>
      </c>
      <c r="O71" s="20" t="s">
        <v>298</v>
      </c>
      <c r="P71" s="20"/>
      <c r="Q71" s="20">
        <v>50000</v>
      </c>
      <c r="R71" s="16">
        <f t="shared" si="54"/>
        <v>0</v>
      </c>
      <c r="S71" s="20"/>
      <c r="T71" s="20" t="s">
        <v>59</v>
      </c>
      <c r="U71" s="20"/>
      <c r="V71" s="20">
        <v>350</v>
      </c>
      <c r="W71" s="16">
        <f t="shared" si="55"/>
        <v>0</v>
      </c>
      <c r="X71" s="16"/>
      <c r="Y71" s="16" t="s">
        <v>418</v>
      </c>
      <c r="Z71" s="27"/>
      <c r="AA71" s="16">
        <v>82000</v>
      </c>
      <c r="AB71" s="16">
        <f t="shared" si="56"/>
        <v>0</v>
      </c>
      <c r="AC71" s="20"/>
      <c r="AD71" s="16" t="s">
        <v>189</v>
      </c>
      <c r="AE71" s="16"/>
      <c r="AF71" s="23">
        <v>10000</v>
      </c>
      <c r="AG71" s="16">
        <f t="shared" si="57"/>
        <v>0</v>
      </c>
      <c r="AH71" s="16">
        <v>2</v>
      </c>
      <c r="AI71" s="16" t="s">
        <v>107</v>
      </c>
      <c r="AJ71" s="22"/>
      <c r="AK71" s="19">
        <v>11000</v>
      </c>
      <c r="AL71" s="16">
        <f t="shared" si="58"/>
        <v>0</v>
      </c>
      <c r="AM71" s="16"/>
      <c r="AN71" s="20" t="s">
        <v>63</v>
      </c>
      <c r="AO71" s="21"/>
      <c r="AP71" s="20">
        <v>5500</v>
      </c>
      <c r="AQ71" s="16">
        <f t="shared" si="59"/>
        <v>0</v>
      </c>
      <c r="AR71" s="16"/>
      <c r="AS71" s="16" t="s">
        <v>42</v>
      </c>
      <c r="AT71" s="27"/>
      <c r="AU71" s="16">
        <v>50000</v>
      </c>
      <c r="AV71" s="16">
        <f t="shared" si="60"/>
        <v>0</v>
      </c>
      <c r="AW71" s="16"/>
      <c r="AX71" s="16" t="s">
        <v>64</v>
      </c>
      <c r="AY71" s="16"/>
      <c r="AZ71" s="16">
        <v>5000</v>
      </c>
      <c r="BA71" s="16">
        <f t="shared" si="61"/>
        <v>0</v>
      </c>
      <c r="BB71" s="20"/>
      <c r="BC71" s="20" t="s">
        <v>245</v>
      </c>
      <c r="BD71" s="17"/>
      <c r="BE71" s="17">
        <v>10000</v>
      </c>
      <c r="BF71" s="16">
        <f t="shared" si="62"/>
        <v>0</v>
      </c>
      <c r="BG71" s="20"/>
      <c r="BH71" s="20" t="s">
        <v>59</v>
      </c>
      <c r="BI71" s="20"/>
      <c r="BJ71" s="20">
        <v>350</v>
      </c>
      <c r="BK71" s="16">
        <f>SUM(BI71*BJ71)</f>
        <v>0</v>
      </c>
      <c r="BL71" s="16">
        <v>2</v>
      </c>
      <c r="BM71" s="16" t="s">
        <v>59</v>
      </c>
      <c r="BN71" s="16"/>
      <c r="BO71" s="16">
        <v>350</v>
      </c>
      <c r="BP71" s="16">
        <f t="shared" si="63"/>
        <v>0</v>
      </c>
      <c r="BQ71" s="16"/>
      <c r="BR71" s="16" t="s">
        <v>41</v>
      </c>
      <c r="BS71" s="16"/>
      <c r="BT71" s="16">
        <v>28000</v>
      </c>
      <c r="BU71" s="16">
        <f t="shared" si="64"/>
        <v>0</v>
      </c>
      <c r="BV71" s="16"/>
      <c r="BW71" s="25" t="s">
        <v>66</v>
      </c>
      <c r="BX71" s="25"/>
      <c r="BY71" s="25">
        <v>102600</v>
      </c>
      <c r="BZ71" s="16">
        <f t="shared" si="65"/>
        <v>0</v>
      </c>
      <c r="CA71" s="16"/>
      <c r="CB71" s="16" t="s">
        <v>62</v>
      </c>
      <c r="CC71" s="16"/>
      <c r="CD71" s="16">
        <v>7000</v>
      </c>
      <c r="CE71" s="16">
        <f t="shared" si="66"/>
        <v>0</v>
      </c>
      <c r="CF71" s="16"/>
      <c r="CG71" s="16" t="s">
        <v>45</v>
      </c>
      <c r="CH71" s="16"/>
      <c r="CI71" s="23">
        <v>46500</v>
      </c>
      <c r="CJ71" s="23">
        <f t="shared" si="67"/>
        <v>0</v>
      </c>
      <c r="CK71" s="20"/>
      <c r="CL71" s="20" t="s">
        <v>65</v>
      </c>
      <c r="CM71" s="20"/>
      <c r="CN71" s="20">
        <v>950</v>
      </c>
      <c r="CO71" s="23">
        <f t="shared" si="68"/>
        <v>0</v>
      </c>
      <c r="CP71" s="16"/>
      <c r="CQ71" s="16" t="s">
        <v>87</v>
      </c>
      <c r="CR71" s="16"/>
      <c r="CS71" s="16">
        <v>1550</v>
      </c>
      <c r="CT71" s="23">
        <f t="shared" si="69"/>
        <v>0</v>
      </c>
      <c r="CU71" s="20"/>
      <c r="CV71" s="20" t="s">
        <v>83</v>
      </c>
      <c r="CW71" s="20"/>
      <c r="CX71" s="20">
        <v>3300</v>
      </c>
      <c r="CY71" s="23">
        <f t="shared" si="70"/>
        <v>0</v>
      </c>
      <c r="CZ71" s="20"/>
      <c r="DA71" s="20" t="s">
        <v>68</v>
      </c>
      <c r="DB71" s="20"/>
      <c r="DC71" s="20">
        <v>8000</v>
      </c>
      <c r="DD71" s="23">
        <f t="shared" si="71"/>
        <v>0</v>
      </c>
      <c r="DE71" s="16"/>
      <c r="DF71" s="16" t="s">
        <v>68</v>
      </c>
      <c r="DG71" s="16"/>
      <c r="DH71" s="16">
        <v>9000</v>
      </c>
      <c r="DI71" s="16">
        <f t="shared" si="72"/>
        <v>0</v>
      </c>
      <c r="DJ71" s="20"/>
      <c r="DK71" s="20" t="s">
        <v>69</v>
      </c>
      <c r="DL71" s="20"/>
      <c r="DM71" s="20">
        <v>1000</v>
      </c>
      <c r="DN71" s="16">
        <f t="shared" si="73"/>
        <v>0</v>
      </c>
      <c r="DO71" s="20"/>
      <c r="DP71" s="20" t="s">
        <v>83</v>
      </c>
      <c r="DQ71" s="20"/>
      <c r="DR71" s="20">
        <v>3300</v>
      </c>
      <c r="DS71" s="16">
        <f t="shared" si="74"/>
        <v>0</v>
      </c>
      <c r="DT71" s="20"/>
      <c r="DU71" s="20" t="s">
        <v>57</v>
      </c>
      <c r="DV71" s="20"/>
      <c r="DW71" s="20">
        <v>4000</v>
      </c>
      <c r="DX71" s="24">
        <f t="shared" si="75"/>
        <v>0</v>
      </c>
    </row>
    <row r="72" spans="1:128" s="2" customFormat="1" x14ac:dyDescent="0.3">
      <c r="A72" s="20"/>
      <c r="B72" s="16" t="str">
        <f>O68</f>
        <v xml:space="preserve">PENDAFTARAN </v>
      </c>
      <c r="C72" s="16">
        <f>R97</f>
        <v>0</v>
      </c>
      <c r="D72" s="17"/>
      <c r="E72" s="20" t="s">
        <v>263</v>
      </c>
      <c r="F72" s="17"/>
      <c r="G72" s="17">
        <v>10000</v>
      </c>
      <c r="H72" s="16">
        <f t="shared" si="52"/>
        <v>0</v>
      </c>
      <c r="I72" s="19"/>
      <c r="J72" s="16" t="s">
        <v>43</v>
      </c>
      <c r="K72" s="27"/>
      <c r="L72" s="19">
        <v>1550</v>
      </c>
      <c r="M72" s="16">
        <f t="shared" si="53"/>
        <v>0</v>
      </c>
      <c r="N72" s="17"/>
      <c r="O72" s="20" t="s">
        <v>301</v>
      </c>
      <c r="P72" s="20"/>
      <c r="Q72" s="20">
        <v>35000</v>
      </c>
      <c r="R72" s="16">
        <f t="shared" si="54"/>
        <v>0</v>
      </c>
      <c r="S72" s="20"/>
      <c r="T72" s="20" t="s">
        <v>74</v>
      </c>
      <c r="U72" s="20"/>
      <c r="V72" s="20">
        <v>3300</v>
      </c>
      <c r="W72" s="16">
        <f t="shared" si="55"/>
        <v>0</v>
      </c>
      <c r="X72" s="16"/>
      <c r="Y72" s="16" t="s">
        <v>419</v>
      </c>
      <c r="Z72" s="27"/>
      <c r="AA72" s="16">
        <v>39000</v>
      </c>
      <c r="AB72" s="16">
        <f t="shared" si="56"/>
        <v>0</v>
      </c>
      <c r="AC72" s="20"/>
      <c r="AD72" s="20" t="s">
        <v>87</v>
      </c>
      <c r="AE72" s="20"/>
      <c r="AF72" s="16">
        <v>1550</v>
      </c>
      <c r="AG72" s="16">
        <f t="shared" si="57"/>
        <v>0</v>
      </c>
      <c r="AH72" s="16"/>
      <c r="AI72" s="20" t="s">
        <v>76</v>
      </c>
      <c r="AJ72" s="17"/>
      <c r="AK72" s="20">
        <v>26500</v>
      </c>
      <c r="AL72" s="16">
        <f t="shared" si="58"/>
        <v>0</v>
      </c>
      <c r="AM72" s="16"/>
      <c r="AN72" s="20" t="s">
        <v>77</v>
      </c>
      <c r="AO72" s="21"/>
      <c r="AP72" s="20">
        <v>17000</v>
      </c>
      <c r="AQ72" s="16">
        <f t="shared" si="59"/>
        <v>0</v>
      </c>
      <c r="AR72" s="16"/>
      <c r="AS72" s="20" t="s">
        <v>39</v>
      </c>
      <c r="AT72" s="21"/>
      <c r="AU72" s="20">
        <v>450</v>
      </c>
      <c r="AV72" s="16">
        <f t="shared" si="60"/>
        <v>0</v>
      </c>
      <c r="AW72" s="16"/>
      <c r="AX72" s="16" t="s">
        <v>41</v>
      </c>
      <c r="AY72" s="16"/>
      <c r="AZ72" s="16">
        <v>28000</v>
      </c>
      <c r="BA72" s="16">
        <f t="shared" si="61"/>
        <v>0</v>
      </c>
      <c r="BB72" s="20"/>
      <c r="BC72" s="20" t="s">
        <v>65</v>
      </c>
      <c r="BD72" s="17"/>
      <c r="BE72" s="17">
        <v>1550</v>
      </c>
      <c r="BF72" s="16">
        <f t="shared" si="62"/>
        <v>0</v>
      </c>
      <c r="BG72" s="20"/>
      <c r="BH72" s="20" t="s">
        <v>79</v>
      </c>
      <c r="BI72" s="20"/>
      <c r="BJ72" s="20">
        <v>3300</v>
      </c>
      <c r="BK72" s="16">
        <f>SUM(BI72*BJ72)</f>
        <v>0</v>
      </c>
      <c r="BL72" s="16"/>
      <c r="BM72" s="16" t="s">
        <v>79</v>
      </c>
      <c r="BN72" s="16"/>
      <c r="BO72" s="16">
        <v>3300</v>
      </c>
      <c r="BP72" s="16">
        <f t="shared" si="63"/>
        <v>0</v>
      </c>
      <c r="BQ72" s="16"/>
      <c r="BR72" s="16" t="s">
        <v>60</v>
      </c>
      <c r="BT72" s="16">
        <v>39000</v>
      </c>
      <c r="BU72" s="16">
        <f t="shared" si="64"/>
        <v>0</v>
      </c>
      <c r="BV72" s="16"/>
      <c r="BW72" s="20" t="s">
        <v>68</v>
      </c>
      <c r="BX72" s="20"/>
      <c r="BY72" s="20">
        <v>9000</v>
      </c>
      <c r="BZ72" s="16">
        <f t="shared" si="65"/>
        <v>0</v>
      </c>
      <c r="CA72" s="16"/>
      <c r="CB72" s="16" t="s">
        <v>303</v>
      </c>
      <c r="CC72" s="16"/>
      <c r="CD72" s="16">
        <v>8500</v>
      </c>
      <c r="CE72" s="16">
        <f t="shared" si="66"/>
        <v>0</v>
      </c>
      <c r="CF72" s="16"/>
      <c r="CG72" s="16" t="s">
        <v>81</v>
      </c>
      <c r="CH72" s="16"/>
      <c r="CI72" s="23">
        <v>7500</v>
      </c>
      <c r="CJ72" s="23">
        <f t="shared" si="67"/>
        <v>0</v>
      </c>
      <c r="CK72" s="20"/>
      <c r="CL72" s="20" t="s">
        <v>68</v>
      </c>
      <c r="CM72" s="20"/>
      <c r="CN72" s="20">
        <v>7500</v>
      </c>
      <c r="CO72" s="23">
        <f t="shared" si="68"/>
        <v>0</v>
      </c>
      <c r="CP72" s="16"/>
      <c r="CQ72" s="16" t="s">
        <v>88</v>
      </c>
      <c r="CR72" s="16"/>
      <c r="CS72" s="16">
        <v>2500</v>
      </c>
      <c r="CT72" s="23">
        <f t="shared" si="69"/>
        <v>0</v>
      </c>
      <c r="CU72" s="20"/>
      <c r="CV72" s="20" t="s">
        <v>285</v>
      </c>
      <c r="CW72" s="20"/>
      <c r="CX72" s="20">
        <v>8500</v>
      </c>
      <c r="CY72" s="23">
        <f t="shared" si="70"/>
        <v>0</v>
      </c>
      <c r="CZ72" s="20"/>
      <c r="DA72" s="20" t="s">
        <v>57</v>
      </c>
      <c r="DB72" s="20"/>
      <c r="DC72" s="20">
        <v>4000</v>
      </c>
      <c r="DD72" s="23">
        <f t="shared" si="71"/>
        <v>0</v>
      </c>
      <c r="DE72" s="16"/>
      <c r="DF72" s="16" t="s">
        <v>57</v>
      </c>
      <c r="DG72" s="16"/>
      <c r="DH72" s="16">
        <v>4000</v>
      </c>
      <c r="DI72" s="16">
        <f t="shared" si="72"/>
        <v>0</v>
      </c>
      <c r="DJ72" s="20"/>
      <c r="DK72" s="20" t="s">
        <v>51</v>
      </c>
      <c r="DL72" s="20"/>
      <c r="DM72" s="20">
        <v>100</v>
      </c>
      <c r="DN72" s="16">
        <f t="shared" si="73"/>
        <v>0</v>
      </c>
      <c r="DO72" s="20"/>
      <c r="DP72" s="20" t="s">
        <v>420</v>
      </c>
      <c r="DQ72" s="20"/>
      <c r="DR72" s="20">
        <v>8000</v>
      </c>
      <c r="DS72" s="16">
        <f t="shared" si="74"/>
        <v>0</v>
      </c>
      <c r="DT72" s="20"/>
      <c r="DU72" s="16" t="s">
        <v>184</v>
      </c>
      <c r="DV72" s="27"/>
      <c r="DW72" s="19">
        <v>3000</v>
      </c>
      <c r="DX72" s="24">
        <f t="shared" si="75"/>
        <v>0</v>
      </c>
    </row>
    <row r="73" spans="1:128" s="2" customFormat="1" x14ac:dyDescent="0.3">
      <c r="A73" s="20"/>
      <c r="B73" s="16" t="str">
        <f>T68</f>
        <v>MADINAH 2</v>
      </c>
      <c r="C73" s="16">
        <f>W97</f>
        <v>0</v>
      </c>
      <c r="D73" s="17"/>
      <c r="E73" s="20" t="s">
        <v>299</v>
      </c>
      <c r="F73" s="17"/>
      <c r="G73" s="17">
        <v>11000</v>
      </c>
      <c r="H73" s="16">
        <f t="shared" si="52"/>
        <v>0</v>
      </c>
      <c r="I73" s="19"/>
      <c r="J73" s="16" t="s">
        <v>65</v>
      </c>
      <c r="K73" s="27"/>
      <c r="L73" s="19">
        <v>1550</v>
      </c>
      <c r="M73" s="16">
        <f t="shared" si="53"/>
        <v>0</v>
      </c>
      <c r="N73" s="17"/>
      <c r="O73" s="20" t="s">
        <v>43</v>
      </c>
      <c r="P73" s="21"/>
      <c r="Q73" s="19">
        <v>1550</v>
      </c>
      <c r="R73" s="16">
        <f t="shared" si="54"/>
        <v>0</v>
      </c>
      <c r="S73" s="20"/>
      <c r="T73" s="20" t="s">
        <v>86</v>
      </c>
      <c r="U73" s="20"/>
      <c r="V73" s="20">
        <v>2500</v>
      </c>
      <c r="W73" s="16">
        <f t="shared" si="55"/>
        <v>0</v>
      </c>
      <c r="X73" s="16"/>
      <c r="Y73" s="16" t="s">
        <v>421</v>
      </c>
      <c r="Z73" s="27"/>
      <c r="AA73" s="16">
        <v>93000</v>
      </c>
      <c r="AB73" s="16">
        <f t="shared" si="56"/>
        <v>0</v>
      </c>
      <c r="AC73" s="20"/>
      <c r="AD73" s="20" t="s">
        <v>102</v>
      </c>
      <c r="AE73" s="20"/>
      <c r="AF73" s="16">
        <v>2000</v>
      </c>
      <c r="AG73" s="16">
        <f t="shared" si="57"/>
        <v>0</v>
      </c>
      <c r="AH73" s="16"/>
      <c r="AI73" s="16" t="s">
        <v>65</v>
      </c>
      <c r="AJ73" s="22"/>
      <c r="AK73" s="19">
        <v>950</v>
      </c>
      <c r="AL73" s="16">
        <f t="shared" si="58"/>
        <v>0</v>
      </c>
      <c r="AM73" s="16"/>
      <c r="AN73" s="16" t="s">
        <v>45</v>
      </c>
      <c r="AO73" s="27"/>
      <c r="AP73" s="16">
        <v>46500</v>
      </c>
      <c r="AQ73" s="16">
        <f t="shared" si="59"/>
        <v>0</v>
      </c>
      <c r="AR73" s="16"/>
      <c r="AS73" s="20" t="s">
        <v>43</v>
      </c>
      <c r="AT73" s="21"/>
      <c r="AU73" s="20">
        <v>1550</v>
      </c>
      <c r="AV73" s="16">
        <f t="shared" si="60"/>
        <v>0</v>
      </c>
      <c r="AW73" s="16"/>
      <c r="AX73" s="16" t="s">
        <v>60</v>
      </c>
      <c r="AY73" s="16"/>
      <c r="AZ73" s="16">
        <v>39000</v>
      </c>
      <c r="BA73" s="16">
        <f t="shared" si="61"/>
        <v>0</v>
      </c>
      <c r="BB73" s="20"/>
      <c r="BC73" s="20" t="s">
        <v>211</v>
      </c>
      <c r="BD73" s="17"/>
      <c r="BE73" s="17">
        <v>250</v>
      </c>
      <c r="BF73" s="16">
        <f t="shared" si="62"/>
        <v>0</v>
      </c>
      <c r="BG73" s="20"/>
      <c r="BH73" s="20" t="s">
        <v>89</v>
      </c>
      <c r="BI73" s="47"/>
      <c r="BJ73" s="20">
        <v>2500</v>
      </c>
      <c r="BK73" s="16">
        <f>SUM(BI72*BJ73)</f>
        <v>0</v>
      </c>
      <c r="BL73" s="16"/>
      <c r="BM73" s="16" t="s">
        <v>89</v>
      </c>
      <c r="BN73" s="16"/>
      <c r="BO73" s="16">
        <v>2500</v>
      </c>
      <c r="BP73" s="16">
        <f t="shared" si="63"/>
        <v>0</v>
      </c>
      <c r="BQ73" s="16"/>
      <c r="BR73" s="16" t="s">
        <v>69</v>
      </c>
      <c r="BS73" s="16"/>
      <c r="BT73" s="16">
        <v>92000</v>
      </c>
      <c r="BU73" s="16">
        <f t="shared" si="64"/>
        <v>0</v>
      </c>
      <c r="BV73" s="16"/>
      <c r="BW73" s="20" t="s">
        <v>90</v>
      </c>
      <c r="BX73" s="20"/>
      <c r="BY73" s="20">
        <v>7000</v>
      </c>
      <c r="BZ73" s="16">
        <f t="shared" si="65"/>
        <v>0</v>
      </c>
      <c r="CA73" s="16"/>
      <c r="CB73" s="16" t="s">
        <v>242</v>
      </c>
      <c r="CC73" s="16"/>
      <c r="CD73" s="16">
        <v>80000</v>
      </c>
      <c r="CE73" s="16">
        <f t="shared" si="66"/>
        <v>0</v>
      </c>
      <c r="CF73" s="16"/>
      <c r="CG73" s="16" t="s">
        <v>43</v>
      </c>
      <c r="CH73" s="16"/>
      <c r="CI73" s="23">
        <v>1550</v>
      </c>
      <c r="CJ73" s="23">
        <f t="shared" si="67"/>
        <v>0</v>
      </c>
      <c r="CK73" s="20"/>
      <c r="CL73" s="20" t="s">
        <v>304</v>
      </c>
      <c r="CM73" s="20"/>
      <c r="CN73" s="20">
        <v>24000</v>
      </c>
      <c r="CO73" s="23">
        <f t="shared" si="68"/>
        <v>0</v>
      </c>
      <c r="CP73" s="16"/>
      <c r="CQ73" s="16" t="s">
        <v>39</v>
      </c>
      <c r="CR73" s="19"/>
      <c r="CS73" s="16">
        <v>450</v>
      </c>
      <c r="CT73" s="23">
        <f t="shared" si="69"/>
        <v>0</v>
      </c>
      <c r="CU73" s="20"/>
      <c r="CV73" s="20" t="s">
        <v>51</v>
      </c>
      <c r="CW73" s="20"/>
      <c r="CX73" s="20">
        <v>100</v>
      </c>
      <c r="CY73" s="23">
        <f t="shared" si="70"/>
        <v>0</v>
      </c>
      <c r="CZ73" s="20"/>
      <c r="DA73" s="16" t="s">
        <v>105</v>
      </c>
      <c r="DB73" s="27"/>
      <c r="DC73" s="19">
        <v>700</v>
      </c>
      <c r="DD73" s="23">
        <f t="shared" si="71"/>
        <v>0</v>
      </c>
      <c r="DE73" s="16"/>
      <c r="DF73" s="16" t="s">
        <v>92</v>
      </c>
      <c r="DG73" s="16"/>
      <c r="DH73" s="16">
        <v>4000</v>
      </c>
      <c r="DI73" s="16">
        <f t="shared" si="72"/>
        <v>0</v>
      </c>
      <c r="DJ73" s="20"/>
      <c r="DK73" s="16" t="s">
        <v>65</v>
      </c>
      <c r="DL73" s="16"/>
      <c r="DM73" s="23">
        <v>950</v>
      </c>
      <c r="DN73" s="16">
        <f t="shared" si="73"/>
        <v>0</v>
      </c>
      <c r="DO73" s="20"/>
      <c r="DP73" s="20" t="s">
        <v>57</v>
      </c>
      <c r="DQ73" s="20"/>
      <c r="DR73" s="20">
        <v>4000</v>
      </c>
      <c r="DS73" s="16">
        <f t="shared" si="74"/>
        <v>0</v>
      </c>
      <c r="DT73" s="20"/>
      <c r="DU73" s="20" t="s">
        <v>54</v>
      </c>
      <c r="DV73" s="20"/>
      <c r="DW73" s="20">
        <v>450</v>
      </c>
      <c r="DX73" s="24">
        <f t="shared" si="75"/>
        <v>0</v>
      </c>
    </row>
    <row r="74" spans="1:128" s="2" customFormat="1" x14ac:dyDescent="0.3">
      <c r="A74" s="20"/>
      <c r="B74" s="16" t="str">
        <f>Y68</f>
        <v>PPI</v>
      </c>
      <c r="C74" s="16">
        <f>AB97</f>
        <v>0</v>
      </c>
      <c r="D74" s="17"/>
      <c r="E74" s="20" t="s">
        <v>54</v>
      </c>
      <c r="F74" s="17"/>
      <c r="G74" s="17">
        <v>45000</v>
      </c>
      <c r="H74" s="16">
        <f t="shared" si="52"/>
        <v>0</v>
      </c>
      <c r="I74" s="19"/>
      <c r="J74" s="16" t="s">
        <v>184</v>
      </c>
      <c r="K74" s="27"/>
      <c r="L74" s="19">
        <v>3000</v>
      </c>
      <c r="M74" s="16">
        <f t="shared" si="53"/>
        <v>0</v>
      </c>
      <c r="N74" s="17"/>
      <c r="O74" s="20" t="s">
        <v>50</v>
      </c>
      <c r="P74" s="21"/>
      <c r="Q74" s="19">
        <v>26500</v>
      </c>
      <c r="R74" s="16">
        <f t="shared" si="54"/>
        <v>0</v>
      </c>
      <c r="S74" s="20"/>
      <c r="T74" s="20" t="s">
        <v>43</v>
      </c>
      <c r="U74" s="20"/>
      <c r="V74" s="20">
        <v>1550</v>
      </c>
      <c r="W74" s="16">
        <f t="shared" si="55"/>
        <v>0</v>
      </c>
      <c r="X74" s="16"/>
      <c r="Y74" s="16" t="s">
        <v>422</v>
      </c>
      <c r="Z74" s="27"/>
      <c r="AA74" s="16">
        <v>9000</v>
      </c>
      <c r="AB74" s="16">
        <f t="shared" si="56"/>
        <v>0</v>
      </c>
      <c r="AC74" s="20"/>
      <c r="AD74" s="20" t="s">
        <v>65</v>
      </c>
      <c r="AE74" s="20"/>
      <c r="AF74" s="16">
        <v>950</v>
      </c>
      <c r="AG74" s="16">
        <f t="shared" si="57"/>
        <v>0</v>
      </c>
      <c r="AH74" s="16"/>
      <c r="AI74" s="16" t="s">
        <v>423</v>
      </c>
      <c r="AJ74" s="22"/>
      <c r="AK74" s="19">
        <v>5000</v>
      </c>
      <c r="AL74" s="16">
        <f t="shared" si="58"/>
        <v>0</v>
      </c>
      <c r="AM74" s="16"/>
      <c r="AN74" s="16" t="s">
        <v>68</v>
      </c>
      <c r="AO74" s="27"/>
      <c r="AP74" s="16">
        <v>9000</v>
      </c>
      <c r="AQ74" s="16">
        <f t="shared" si="59"/>
        <v>0</v>
      </c>
      <c r="AR74" s="16"/>
      <c r="AS74" s="16" t="s">
        <v>65</v>
      </c>
      <c r="AT74" s="27"/>
      <c r="AU74" s="16">
        <v>950</v>
      </c>
      <c r="AV74" s="16">
        <f t="shared" si="60"/>
        <v>0</v>
      </c>
      <c r="AW74" s="16"/>
      <c r="AX74" s="16" t="s">
        <v>68</v>
      </c>
      <c r="AY74" s="16"/>
      <c r="AZ74" s="16">
        <v>9000</v>
      </c>
      <c r="BA74" s="16">
        <f t="shared" si="61"/>
        <v>0</v>
      </c>
      <c r="BB74" s="20"/>
      <c r="BC74" s="20" t="s">
        <v>424</v>
      </c>
      <c r="BD74" s="17"/>
      <c r="BE74" s="17">
        <v>250</v>
      </c>
      <c r="BF74" s="16">
        <f t="shared" si="62"/>
        <v>0</v>
      </c>
      <c r="BG74" s="20"/>
      <c r="BH74" s="20" t="s">
        <v>90</v>
      </c>
      <c r="BI74" s="20"/>
      <c r="BJ74" s="20">
        <v>7000</v>
      </c>
      <c r="BK74" s="16">
        <f t="shared" ref="BK74:BK96" si="76">SUM(BI74*BJ74)</f>
        <v>0</v>
      </c>
      <c r="BL74" s="16"/>
      <c r="BM74" s="16" t="s">
        <v>425</v>
      </c>
      <c r="BN74" s="16"/>
      <c r="BO74" s="16">
        <v>250</v>
      </c>
      <c r="BP74" s="16">
        <f t="shared" si="63"/>
        <v>0</v>
      </c>
      <c r="BQ74" s="16"/>
      <c r="BR74" s="16" t="s">
        <v>53</v>
      </c>
      <c r="BS74" s="16"/>
      <c r="BT74" s="16">
        <v>100000</v>
      </c>
      <c r="BU74" s="16">
        <f t="shared" si="64"/>
        <v>0</v>
      </c>
      <c r="BV74" s="16"/>
      <c r="BW74" s="20" t="s">
        <v>99</v>
      </c>
      <c r="BX74" s="20"/>
      <c r="BY74" s="20">
        <v>145000</v>
      </c>
      <c r="BZ74" s="16">
        <f t="shared" si="65"/>
        <v>0</v>
      </c>
      <c r="CA74" s="16"/>
      <c r="CB74" s="16" t="s">
        <v>426</v>
      </c>
      <c r="CC74" s="16"/>
      <c r="CD74" s="16">
        <v>30000</v>
      </c>
      <c r="CE74" s="16">
        <f t="shared" si="66"/>
        <v>0</v>
      </c>
      <c r="CF74" s="16"/>
      <c r="CG74" s="16" t="s">
        <v>50</v>
      </c>
      <c r="CH74" s="16"/>
      <c r="CI74" s="23">
        <v>26500</v>
      </c>
      <c r="CJ74" s="23">
        <f t="shared" si="67"/>
        <v>0</v>
      </c>
      <c r="CK74" s="20"/>
      <c r="CL74" s="20" t="s">
        <v>307</v>
      </c>
      <c r="CM74" s="20"/>
      <c r="CN74" s="20">
        <v>500</v>
      </c>
      <c r="CO74" s="23">
        <f t="shared" si="68"/>
        <v>0</v>
      </c>
      <c r="CP74" s="16"/>
      <c r="CQ74" s="16" t="s">
        <v>312</v>
      </c>
      <c r="CR74" s="16"/>
      <c r="CS74" s="16">
        <v>12000</v>
      </c>
      <c r="CT74" s="23">
        <f t="shared" si="69"/>
        <v>0</v>
      </c>
      <c r="CU74" s="20"/>
      <c r="CV74" s="20" t="s">
        <v>54</v>
      </c>
      <c r="CW74" s="20"/>
      <c r="CX74" s="20">
        <v>450</v>
      </c>
      <c r="CY74" s="23">
        <f t="shared" si="70"/>
        <v>0</v>
      </c>
      <c r="CZ74" s="20"/>
      <c r="DA74" s="20" t="s">
        <v>83</v>
      </c>
      <c r="DB74" s="20"/>
      <c r="DC74" s="20">
        <v>3300</v>
      </c>
      <c r="DD74" s="23">
        <f t="shared" si="71"/>
        <v>0</v>
      </c>
      <c r="DE74" s="16"/>
      <c r="DF74" s="16" t="s">
        <v>103</v>
      </c>
      <c r="DG74" s="16"/>
      <c r="DH74" s="16">
        <v>8500</v>
      </c>
      <c r="DI74" s="16">
        <f t="shared" si="72"/>
        <v>0</v>
      </c>
      <c r="DJ74" s="20"/>
      <c r="DK74" s="20" t="s">
        <v>427</v>
      </c>
      <c r="DL74" s="20"/>
      <c r="DM74" s="20">
        <v>250</v>
      </c>
      <c r="DN74" s="16">
        <f t="shared" si="73"/>
        <v>0</v>
      </c>
      <c r="DO74" s="20"/>
      <c r="DP74" s="20" t="s">
        <v>90</v>
      </c>
      <c r="DQ74" s="20"/>
      <c r="DR74" s="20">
        <v>7000</v>
      </c>
      <c r="DS74" s="16">
        <f t="shared" si="74"/>
        <v>0</v>
      </c>
      <c r="DT74" s="20"/>
      <c r="DU74" s="20" t="s">
        <v>70</v>
      </c>
      <c r="DV74" s="20"/>
      <c r="DW74" s="20">
        <v>350</v>
      </c>
      <c r="DX74" s="24">
        <f t="shared" si="75"/>
        <v>0</v>
      </c>
    </row>
    <row r="75" spans="1:128" s="2" customFormat="1" x14ac:dyDescent="0.3">
      <c r="A75" s="20"/>
      <c r="B75" s="16" t="str">
        <f>AD68</f>
        <v>FARMASI</v>
      </c>
      <c r="C75" s="16">
        <f>AG97</f>
        <v>0</v>
      </c>
      <c r="D75" s="17"/>
      <c r="E75" s="20" t="s">
        <v>43</v>
      </c>
      <c r="F75" s="17"/>
      <c r="G75" s="17">
        <v>1550</v>
      </c>
      <c r="H75" s="16">
        <f t="shared" si="52"/>
        <v>0</v>
      </c>
      <c r="I75" s="19"/>
      <c r="J75" s="16" t="s">
        <v>90</v>
      </c>
      <c r="K75" s="16"/>
      <c r="L75" s="16">
        <v>7000</v>
      </c>
      <c r="M75" s="16">
        <f t="shared" si="53"/>
        <v>0</v>
      </c>
      <c r="N75" s="17"/>
      <c r="O75" s="20" t="s">
        <v>108</v>
      </c>
      <c r="P75" s="21"/>
      <c r="Q75" s="19">
        <v>70000</v>
      </c>
      <c r="R75" s="16">
        <f t="shared" si="54"/>
        <v>0</v>
      </c>
      <c r="S75" s="20"/>
      <c r="T75" s="20" t="s">
        <v>65</v>
      </c>
      <c r="U75" s="20"/>
      <c r="V75" s="20">
        <v>950</v>
      </c>
      <c r="W75" s="16">
        <f t="shared" si="55"/>
        <v>0</v>
      </c>
      <c r="X75" s="16"/>
      <c r="Y75" s="16" t="s">
        <v>294</v>
      </c>
      <c r="Z75" s="27"/>
      <c r="AA75" s="16">
        <v>70000</v>
      </c>
      <c r="AB75" s="16">
        <f t="shared" si="56"/>
        <v>0</v>
      </c>
      <c r="AC75" s="20"/>
      <c r="AD75" s="20" t="s">
        <v>108</v>
      </c>
      <c r="AE75" s="20"/>
      <c r="AF75" s="16">
        <v>70000</v>
      </c>
      <c r="AG75" s="16">
        <f t="shared" si="57"/>
        <v>0</v>
      </c>
      <c r="AH75" s="16"/>
      <c r="AI75" s="16" t="s">
        <v>428</v>
      </c>
      <c r="AJ75" s="22"/>
      <c r="AK75" s="19">
        <v>10000</v>
      </c>
      <c r="AL75" s="16">
        <f t="shared" si="58"/>
        <v>0</v>
      </c>
      <c r="AM75" s="16"/>
      <c r="AN75" s="16" t="s">
        <v>122</v>
      </c>
      <c r="AO75" s="27"/>
      <c r="AP75" s="16">
        <v>85000</v>
      </c>
      <c r="AQ75" s="16">
        <f t="shared" si="59"/>
        <v>0</v>
      </c>
      <c r="AR75" s="16"/>
      <c r="AS75" s="16" t="s">
        <v>111</v>
      </c>
      <c r="AT75" s="27"/>
      <c r="AU75" s="16">
        <v>13000</v>
      </c>
      <c r="AV75" s="16">
        <f t="shared" si="60"/>
        <v>0</v>
      </c>
      <c r="AW75" s="16"/>
      <c r="AX75" s="16" t="s">
        <v>90</v>
      </c>
      <c r="AY75" s="16"/>
      <c r="AZ75" s="16">
        <v>7000</v>
      </c>
      <c r="BA75" s="16">
        <f t="shared" si="61"/>
        <v>0</v>
      </c>
      <c r="BB75" s="20"/>
      <c r="BC75" s="20" t="s">
        <v>225</v>
      </c>
      <c r="BD75" s="17"/>
      <c r="BE75" s="17">
        <v>4000</v>
      </c>
      <c r="BF75" s="16">
        <f t="shared" si="62"/>
        <v>0</v>
      </c>
      <c r="BG75" s="20"/>
      <c r="BH75" s="20" t="s">
        <v>65</v>
      </c>
      <c r="BI75" s="20"/>
      <c r="BJ75" s="20">
        <v>950</v>
      </c>
      <c r="BK75" s="16">
        <f t="shared" si="76"/>
        <v>0</v>
      </c>
      <c r="BL75" s="16"/>
      <c r="BM75" s="16" t="s">
        <v>65</v>
      </c>
      <c r="BN75" s="16"/>
      <c r="BO75" s="16">
        <v>950</v>
      </c>
      <c r="BP75" s="16">
        <f t="shared" si="63"/>
        <v>0</v>
      </c>
      <c r="BQ75" s="16"/>
      <c r="BR75" s="16" t="s">
        <v>113</v>
      </c>
      <c r="BS75" s="16"/>
      <c r="BT75" s="16">
        <v>5000</v>
      </c>
      <c r="BU75" s="16">
        <f t="shared" si="64"/>
        <v>0</v>
      </c>
      <c r="BV75" s="16"/>
      <c r="BW75" s="16" t="s">
        <v>114</v>
      </c>
      <c r="BX75" s="16"/>
      <c r="BY75" s="16">
        <v>35000</v>
      </c>
      <c r="BZ75" s="16">
        <f t="shared" si="65"/>
        <v>0</v>
      </c>
      <c r="CA75" s="16"/>
      <c r="CB75" s="48" t="s">
        <v>57</v>
      </c>
      <c r="CC75" s="16"/>
      <c r="CD75" s="16">
        <v>4000</v>
      </c>
      <c r="CE75" s="16">
        <f t="shared" si="66"/>
        <v>0</v>
      </c>
      <c r="CF75" s="16"/>
      <c r="CG75" s="16" t="s">
        <v>58</v>
      </c>
      <c r="CH75" s="16"/>
      <c r="CI75" s="23">
        <v>85000</v>
      </c>
      <c r="CJ75" s="23">
        <f t="shared" si="67"/>
        <v>0</v>
      </c>
      <c r="CK75" s="20"/>
      <c r="CL75" s="20" t="s">
        <v>50</v>
      </c>
      <c r="CM75" s="20"/>
      <c r="CN75" s="20">
        <v>26000</v>
      </c>
      <c r="CO75" s="23">
        <f t="shared" si="68"/>
        <v>0</v>
      </c>
      <c r="CP75" s="16"/>
      <c r="CQ75" s="16" t="s">
        <v>429</v>
      </c>
      <c r="CR75" s="16"/>
      <c r="CS75" s="16">
        <v>15000</v>
      </c>
      <c r="CT75" s="23">
        <f t="shared" si="69"/>
        <v>0</v>
      </c>
      <c r="CU75" s="20"/>
      <c r="CV75" s="20" t="s">
        <v>70</v>
      </c>
      <c r="CW75" s="20"/>
      <c r="CX75" s="20">
        <v>350</v>
      </c>
      <c r="CY75" s="23">
        <f t="shared" si="70"/>
        <v>0</v>
      </c>
      <c r="CZ75" s="20"/>
      <c r="DA75" s="20" t="s">
        <v>90</v>
      </c>
      <c r="DB75" s="20"/>
      <c r="DC75" s="20">
        <v>7000</v>
      </c>
      <c r="DD75" s="23">
        <f t="shared" si="71"/>
        <v>0</v>
      </c>
      <c r="DE75" s="16"/>
      <c r="DF75" s="16" t="s">
        <v>206</v>
      </c>
      <c r="DG75" s="16"/>
      <c r="DH75" s="16">
        <v>2000</v>
      </c>
      <c r="DI75" s="16">
        <f t="shared" si="72"/>
        <v>0</v>
      </c>
      <c r="DJ75" s="20"/>
      <c r="DK75" s="20" t="s">
        <v>291</v>
      </c>
      <c r="DL75" s="20"/>
      <c r="DM75" s="20">
        <v>250</v>
      </c>
      <c r="DN75" s="16">
        <f t="shared" si="73"/>
        <v>0</v>
      </c>
      <c r="DO75" s="20"/>
      <c r="DP75" s="20" t="s">
        <v>152</v>
      </c>
      <c r="DQ75" s="20"/>
      <c r="DR75" s="20">
        <v>3000</v>
      </c>
      <c r="DS75" s="16">
        <f t="shared" si="74"/>
        <v>0</v>
      </c>
      <c r="DT75" s="20"/>
      <c r="DU75" s="20" t="s">
        <v>83</v>
      </c>
      <c r="DV75" s="20"/>
      <c r="DW75" s="20">
        <v>3300</v>
      </c>
      <c r="DX75" s="24">
        <f t="shared" si="75"/>
        <v>0</v>
      </c>
    </row>
    <row r="76" spans="1:128" s="2" customFormat="1" x14ac:dyDescent="0.3">
      <c r="A76" s="20"/>
      <c r="B76" s="16" t="str">
        <f>AI68</f>
        <v>POLI</v>
      </c>
      <c r="C76" s="16">
        <f>AL97</f>
        <v>0</v>
      </c>
      <c r="D76" s="17"/>
      <c r="E76" s="20" t="s">
        <v>65</v>
      </c>
      <c r="F76" s="17"/>
      <c r="G76" s="17">
        <v>950</v>
      </c>
      <c r="H76" s="16">
        <f t="shared" si="52"/>
        <v>0</v>
      </c>
      <c r="I76" s="19"/>
      <c r="J76" s="16" t="s">
        <v>430</v>
      </c>
      <c r="K76" s="27"/>
      <c r="L76" s="19">
        <v>250</v>
      </c>
      <c r="M76" s="16">
        <f t="shared" si="53"/>
        <v>0</v>
      </c>
      <c r="N76" s="17"/>
      <c r="O76" s="20" t="s">
        <v>120</v>
      </c>
      <c r="P76" s="21"/>
      <c r="Q76" s="19">
        <v>3900</v>
      </c>
      <c r="R76" s="16">
        <f t="shared" si="54"/>
        <v>0</v>
      </c>
      <c r="S76" s="20"/>
      <c r="T76" s="20" t="s">
        <v>68</v>
      </c>
      <c r="U76" s="20"/>
      <c r="V76" s="20">
        <v>9000</v>
      </c>
      <c r="W76" s="16">
        <f t="shared" si="55"/>
        <v>0</v>
      </c>
      <c r="X76" s="16"/>
      <c r="Y76" s="16" t="s">
        <v>431</v>
      </c>
      <c r="Z76" s="16"/>
      <c r="AA76" s="16"/>
      <c r="AB76" s="16">
        <f t="shared" si="56"/>
        <v>0</v>
      </c>
      <c r="AC76" s="20"/>
      <c r="AD76" s="20" t="s">
        <v>68</v>
      </c>
      <c r="AE76" s="20"/>
      <c r="AF76" s="16">
        <v>9000</v>
      </c>
      <c r="AG76" s="16">
        <f t="shared" si="57"/>
        <v>0</v>
      </c>
      <c r="AH76" s="16"/>
      <c r="AI76" s="16" t="s">
        <v>304</v>
      </c>
      <c r="AJ76" s="22"/>
      <c r="AK76" s="19">
        <v>20000</v>
      </c>
      <c r="AL76" s="16">
        <f t="shared" si="58"/>
        <v>0</v>
      </c>
      <c r="AM76" s="16"/>
      <c r="AN76" s="16" t="s">
        <v>155</v>
      </c>
      <c r="AO76" s="27"/>
      <c r="AP76" s="16">
        <v>5000</v>
      </c>
      <c r="AQ76" s="16">
        <f t="shared" si="59"/>
        <v>0</v>
      </c>
      <c r="AR76" s="16"/>
      <c r="AS76" s="16" t="s">
        <v>68</v>
      </c>
      <c r="AT76" s="27"/>
      <c r="AU76" s="16">
        <v>9000</v>
      </c>
      <c r="AV76" s="16">
        <f t="shared" si="60"/>
        <v>0</v>
      </c>
      <c r="AW76" s="16"/>
      <c r="AX76" s="16" t="s">
        <v>65</v>
      </c>
      <c r="AY76" s="16"/>
      <c r="AZ76" s="16">
        <v>950</v>
      </c>
      <c r="BA76" s="16">
        <f t="shared" si="61"/>
        <v>0</v>
      </c>
      <c r="BB76" s="20"/>
      <c r="BC76" s="20" t="s">
        <v>123</v>
      </c>
      <c r="BD76" s="17"/>
      <c r="BE76" s="17">
        <v>350</v>
      </c>
      <c r="BF76" s="16">
        <f t="shared" si="62"/>
        <v>0</v>
      </c>
      <c r="BG76" s="20"/>
      <c r="BH76" s="20" t="s">
        <v>404</v>
      </c>
      <c r="BI76" s="17"/>
      <c r="BJ76" s="17">
        <v>250</v>
      </c>
      <c r="BK76" s="16">
        <f t="shared" si="76"/>
        <v>0</v>
      </c>
      <c r="BL76" s="16"/>
      <c r="BM76" s="16" t="s">
        <v>90</v>
      </c>
      <c r="BN76" s="16"/>
      <c r="BO76" s="16">
        <v>7000</v>
      </c>
      <c r="BP76" s="16">
        <f t="shared" si="63"/>
        <v>0</v>
      </c>
      <c r="BQ76" s="16"/>
      <c r="BR76" s="16" t="s">
        <v>126</v>
      </c>
      <c r="BS76" s="16"/>
      <c r="BT76" s="16">
        <v>12000</v>
      </c>
      <c r="BU76" s="16">
        <f t="shared" si="64"/>
        <v>0</v>
      </c>
      <c r="BV76" s="16"/>
      <c r="BW76" s="16" t="s">
        <v>127</v>
      </c>
      <c r="BX76" s="16"/>
      <c r="BY76" s="16">
        <v>96450</v>
      </c>
      <c r="BZ76" s="16">
        <f t="shared" si="65"/>
        <v>0</v>
      </c>
      <c r="CA76" s="16"/>
      <c r="CB76" s="16" t="s">
        <v>87</v>
      </c>
      <c r="CC76" s="16"/>
      <c r="CD76" s="16">
        <v>1550</v>
      </c>
      <c r="CE76" s="16">
        <f t="shared" si="66"/>
        <v>0</v>
      </c>
      <c r="CF76" s="16"/>
      <c r="CG76" s="16" t="s">
        <v>361</v>
      </c>
      <c r="CH76" s="16"/>
      <c r="CI76" s="23">
        <v>10000</v>
      </c>
      <c r="CJ76" s="23">
        <f t="shared" si="67"/>
        <v>0</v>
      </c>
      <c r="CK76" s="20"/>
      <c r="CL76" s="20" t="s">
        <v>432</v>
      </c>
      <c r="CM76" s="20"/>
      <c r="CN76" s="20">
        <v>20000</v>
      </c>
      <c r="CO76" s="23">
        <f t="shared" si="68"/>
        <v>0</v>
      </c>
      <c r="CP76" s="16"/>
      <c r="CQ76" s="16" t="s">
        <v>305</v>
      </c>
      <c r="CR76" s="16"/>
      <c r="CS76" s="16">
        <v>13500</v>
      </c>
      <c r="CT76" s="23">
        <f t="shared" si="69"/>
        <v>0</v>
      </c>
      <c r="CU76" s="20"/>
      <c r="CV76" s="20" t="s">
        <v>90</v>
      </c>
      <c r="CW76" s="20"/>
      <c r="CX76" s="20">
        <v>6500</v>
      </c>
      <c r="CY76" s="23">
        <f t="shared" si="70"/>
        <v>0</v>
      </c>
      <c r="CZ76" s="20"/>
      <c r="DA76" s="20" t="s">
        <v>146</v>
      </c>
      <c r="DB76" s="17"/>
      <c r="DC76" s="17">
        <v>7000</v>
      </c>
      <c r="DD76" s="23">
        <f t="shared" si="71"/>
        <v>0</v>
      </c>
      <c r="DE76" s="16"/>
      <c r="DF76" s="16" t="s">
        <v>126</v>
      </c>
      <c r="DG76" s="16"/>
      <c r="DH76" s="23">
        <v>10000</v>
      </c>
      <c r="DI76" s="16">
        <f t="shared" si="72"/>
        <v>0</v>
      </c>
      <c r="DJ76" s="20"/>
      <c r="DK76" s="20" t="s">
        <v>117</v>
      </c>
      <c r="DL76" s="20"/>
      <c r="DM76" s="20">
        <v>250</v>
      </c>
      <c r="DN76" s="16">
        <f t="shared" si="73"/>
        <v>0</v>
      </c>
      <c r="DO76" s="20"/>
      <c r="DP76" s="20" t="s">
        <v>39</v>
      </c>
      <c r="DQ76" s="21"/>
      <c r="DR76" s="20">
        <v>450</v>
      </c>
      <c r="DS76" s="16">
        <f t="shared" si="74"/>
        <v>0</v>
      </c>
      <c r="DT76" s="20"/>
      <c r="DU76" s="20" t="s">
        <v>88</v>
      </c>
      <c r="DV76" s="20"/>
      <c r="DW76" s="20">
        <v>2500</v>
      </c>
      <c r="DX76" s="24">
        <f t="shared" si="75"/>
        <v>0</v>
      </c>
    </row>
    <row r="77" spans="1:128" s="2" customFormat="1" x14ac:dyDescent="0.3">
      <c r="A77" s="20"/>
      <c r="B77" s="16" t="str">
        <f>AN68</f>
        <v>RADIOLOGI</v>
      </c>
      <c r="C77" s="16">
        <f>AQ97</f>
        <v>0</v>
      </c>
      <c r="D77" s="17"/>
      <c r="E77" s="20" t="s">
        <v>106</v>
      </c>
      <c r="F77" s="17"/>
      <c r="G77" s="17">
        <v>26500</v>
      </c>
      <c r="H77" s="16">
        <f t="shared" si="52"/>
        <v>0</v>
      </c>
      <c r="I77" s="19"/>
      <c r="J77" s="16" t="s">
        <v>105</v>
      </c>
      <c r="K77" s="27"/>
      <c r="L77" s="19">
        <v>700</v>
      </c>
      <c r="M77" s="16">
        <f t="shared" si="53"/>
        <v>0</v>
      </c>
      <c r="N77" s="17"/>
      <c r="O77" s="20" t="s">
        <v>132</v>
      </c>
      <c r="P77" s="21"/>
      <c r="Q77" s="19">
        <v>2200</v>
      </c>
      <c r="R77" s="16">
        <f t="shared" si="54"/>
        <v>0</v>
      </c>
      <c r="S77" s="20"/>
      <c r="T77" s="20" t="s">
        <v>57</v>
      </c>
      <c r="U77" s="20"/>
      <c r="V77" s="20">
        <v>4000</v>
      </c>
      <c r="W77" s="16">
        <f t="shared" si="55"/>
        <v>0</v>
      </c>
      <c r="X77" s="16"/>
      <c r="Y77" s="16" t="s">
        <v>433</v>
      </c>
      <c r="Z77" s="16"/>
      <c r="AA77" s="16"/>
      <c r="AB77" s="16">
        <f t="shared" si="56"/>
        <v>0</v>
      </c>
      <c r="AC77" s="20"/>
      <c r="AD77" s="20" t="s">
        <v>57</v>
      </c>
      <c r="AE77" s="20"/>
      <c r="AF77" s="16">
        <v>4000</v>
      </c>
      <c r="AG77" s="16">
        <f t="shared" si="57"/>
        <v>0</v>
      </c>
      <c r="AH77" s="16"/>
      <c r="AI77" s="20" t="s">
        <v>39</v>
      </c>
      <c r="AJ77" s="20"/>
      <c r="AK77" s="20">
        <v>450</v>
      </c>
      <c r="AL77" s="16">
        <f t="shared" si="58"/>
        <v>0</v>
      </c>
      <c r="AM77" s="16"/>
      <c r="AN77" s="16" t="s">
        <v>361</v>
      </c>
      <c r="AO77" s="27"/>
      <c r="AP77" s="16">
        <v>10000</v>
      </c>
      <c r="AQ77" s="16">
        <f t="shared" si="59"/>
        <v>0</v>
      </c>
      <c r="AR77" s="16"/>
      <c r="AS77" s="16" t="s">
        <v>57</v>
      </c>
      <c r="AT77" s="27"/>
      <c r="AU77" s="16">
        <v>4000</v>
      </c>
      <c r="AV77" s="16">
        <f t="shared" si="60"/>
        <v>0</v>
      </c>
      <c r="AW77" s="16"/>
      <c r="AX77" s="16" t="s">
        <v>57</v>
      </c>
      <c r="AY77" s="16"/>
      <c r="AZ77" s="16">
        <v>4000</v>
      </c>
      <c r="BA77" s="16">
        <f t="shared" si="61"/>
        <v>0</v>
      </c>
      <c r="BB77" s="20"/>
      <c r="BC77" s="20" t="s">
        <v>181</v>
      </c>
      <c r="BD77" s="17"/>
      <c r="BE77" s="17">
        <v>350</v>
      </c>
      <c r="BF77" s="16">
        <f t="shared" si="62"/>
        <v>0</v>
      </c>
      <c r="BG77" s="20"/>
      <c r="BH77" s="20" t="s">
        <v>152</v>
      </c>
      <c r="BI77" s="20"/>
      <c r="BJ77" s="20">
        <v>3000</v>
      </c>
      <c r="BK77" s="16">
        <f t="shared" si="76"/>
        <v>0</v>
      </c>
      <c r="BL77" s="16"/>
      <c r="BM77" s="16" t="s">
        <v>199</v>
      </c>
      <c r="BN77" s="16"/>
      <c r="BO77" s="16">
        <v>250</v>
      </c>
      <c r="BP77" s="16">
        <f t="shared" si="63"/>
        <v>0</v>
      </c>
      <c r="BQ77" s="16"/>
      <c r="BR77" s="16" t="s">
        <v>434</v>
      </c>
      <c r="BS77" s="16"/>
      <c r="BT77" s="16">
        <v>20000</v>
      </c>
      <c r="BU77" s="16">
        <f t="shared" si="64"/>
        <v>0</v>
      </c>
      <c r="BV77" s="16"/>
      <c r="BW77" s="16" t="s">
        <v>139</v>
      </c>
      <c r="BX77" s="16"/>
      <c r="BY77" s="16">
        <v>104500</v>
      </c>
      <c r="BZ77" s="16">
        <f t="shared" si="65"/>
        <v>0</v>
      </c>
      <c r="CA77" s="16"/>
      <c r="CB77" s="16"/>
      <c r="CC77" s="16"/>
      <c r="CD77" s="16"/>
      <c r="CE77" s="16">
        <f t="shared" si="66"/>
        <v>0</v>
      </c>
      <c r="CF77" s="16"/>
      <c r="CG77" s="16" t="s">
        <v>65</v>
      </c>
      <c r="CH77" s="16"/>
      <c r="CI77" s="23">
        <v>950</v>
      </c>
      <c r="CJ77" s="23">
        <f t="shared" si="67"/>
        <v>0</v>
      </c>
      <c r="CK77" s="20"/>
      <c r="CL77" s="20" t="s">
        <v>435</v>
      </c>
      <c r="CM77" s="20"/>
      <c r="CN77" s="20">
        <v>20000</v>
      </c>
      <c r="CO77" s="23">
        <f t="shared" si="68"/>
        <v>0</v>
      </c>
      <c r="CP77" s="16"/>
      <c r="CQ77" s="16" t="s">
        <v>436</v>
      </c>
      <c r="CR77" s="16"/>
      <c r="CS77" s="16">
        <v>85000</v>
      </c>
      <c r="CT77" s="23">
        <f t="shared" si="69"/>
        <v>0</v>
      </c>
      <c r="CU77" s="20"/>
      <c r="CV77" s="20" t="s">
        <v>437</v>
      </c>
      <c r="CW77" s="20"/>
      <c r="CX77" s="20">
        <v>250</v>
      </c>
      <c r="CY77" s="23">
        <f t="shared" si="70"/>
        <v>0</v>
      </c>
      <c r="CZ77" s="20"/>
      <c r="DA77" s="20" t="s">
        <v>204</v>
      </c>
      <c r="DB77" s="20"/>
      <c r="DC77" s="20">
        <v>250</v>
      </c>
      <c r="DD77" s="23">
        <f t="shared" si="71"/>
        <v>0</v>
      </c>
      <c r="DE77" s="16"/>
      <c r="DF77" s="20" t="s">
        <v>146</v>
      </c>
      <c r="DG77" s="17"/>
      <c r="DH77" s="17">
        <v>7000</v>
      </c>
      <c r="DI77" s="16">
        <f t="shared" si="72"/>
        <v>0</v>
      </c>
      <c r="DJ77" s="20"/>
      <c r="DK77" s="20" t="s">
        <v>287</v>
      </c>
      <c r="DL77" s="20"/>
      <c r="DM77" s="20">
        <v>250</v>
      </c>
      <c r="DN77" s="16">
        <f t="shared" si="73"/>
        <v>0</v>
      </c>
      <c r="DO77" s="20"/>
      <c r="DP77" s="20" t="s">
        <v>438</v>
      </c>
      <c r="DQ77" s="20"/>
      <c r="DR77" s="20">
        <v>950</v>
      </c>
      <c r="DS77" s="16">
        <f t="shared" si="74"/>
        <v>0</v>
      </c>
      <c r="DT77" s="20"/>
      <c r="DU77" s="20" t="s">
        <v>65</v>
      </c>
      <c r="DV77" s="20"/>
      <c r="DW77" s="20">
        <v>950</v>
      </c>
      <c r="DX77" s="24">
        <f t="shared" si="75"/>
        <v>0</v>
      </c>
    </row>
    <row r="78" spans="1:128" s="2" customFormat="1" x14ac:dyDescent="0.3">
      <c r="A78" s="20"/>
      <c r="B78" s="16" t="str">
        <f>AS68</f>
        <v>LABORAT</v>
      </c>
      <c r="C78" s="16">
        <f>AV97</f>
        <v>0</v>
      </c>
      <c r="D78" s="17"/>
      <c r="E78" s="20" t="s">
        <v>118</v>
      </c>
      <c r="F78" s="17"/>
      <c r="G78" s="17">
        <v>7000</v>
      </c>
      <c r="H78" s="16">
        <f t="shared" si="52"/>
        <v>0</v>
      </c>
      <c r="I78" s="19"/>
      <c r="J78" s="16" t="s">
        <v>144</v>
      </c>
      <c r="K78" s="27"/>
      <c r="L78" s="19">
        <v>700</v>
      </c>
      <c r="M78" s="16">
        <f t="shared" si="53"/>
        <v>0</v>
      </c>
      <c r="N78" s="17"/>
      <c r="O78" s="20" t="s">
        <v>318</v>
      </c>
      <c r="P78" s="21"/>
      <c r="Q78" s="19">
        <v>8500</v>
      </c>
      <c r="R78" s="16">
        <f t="shared" si="54"/>
        <v>0</v>
      </c>
      <c r="S78" s="20"/>
      <c r="T78" s="20" t="s">
        <v>273</v>
      </c>
      <c r="U78" s="20"/>
      <c r="V78" s="20">
        <v>4000</v>
      </c>
      <c r="W78" s="16">
        <f t="shared" si="55"/>
        <v>0</v>
      </c>
      <c r="X78" s="16"/>
      <c r="Y78" s="16" t="s">
        <v>439</v>
      </c>
      <c r="Z78" s="16"/>
      <c r="AA78" s="16"/>
      <c r="AB78" s="16">
        <f t="shared" si="56"/>
        <v>0</v>
      </c>
      <c r="AC78" s="20"/>
      <c r="AD78" s="20" t="s">
        <v>90</v>
      </c>
      <c r="AE78" s="20"/>
      <c r="AF78" s="16">
        <v>7000</v>
      </c>
      <c r="AG78" s="16">
        <f t="shared" si="57"/>
        <v>0</v>
      </c>
      <c r="AH78" s="16"/>
      <c r="AI78" s="20" t="s">
        <v>59</v>
      </c>
      <c r="AJ78" s="20"/>
      <c r="AK78" s="20">
        <v>350</v>
      </c>
      <c r="AL78" s="16">
        <f t="shared" si="58"/>
        <v>0</v>
      </c>
      <c r="AM78" s="16"/>
      <c r="AN78" s="20" t="s">
        <v>319</v>
      </c>
      <c r="AO78" s="21"/>
      <c r="AP78" s="20">
        <v>5000</v>
      </c>
      <c r="AQ78" s="16">
        <f t="shared" si="59"/>
        <v>0</v>
      </c>
      <c r="AR78" s="16"/>
      <c r="AS78" s="16" t="s">
        <v>146</v>
      </c>
      <c r="AT78" s="27"/>
      <c r="AU78" s="16">
        <v>7000</v>
      </c>
      <c r="AV78" s="16">
        <f t="shared" si="60"/>
        <v>0</v>
      </c>
      <c r="AW78" s="16"/>
      <c r="AX78" s="16" t="s">
        <v>238</v>
      </c>
      <c r="AY78" s="16"/>
      <c r="AZ78" s="16">
        <v>20000</v>
      </c>
      <c r="BA78" s="16">
        <f t="shared" si="61"/>
        <v>0</v>
      </c>
      <c r="BB78" s="20"/>
      <c r="BC78" s="20" t="s">
        <v>97</v>
      </c>
      <c r="BD78" s="17"/>
      <c r="BE78" s="17">
        <v>250</v>
      </c>
      <c r="BF78" s="16">
        <f t="shared" si="62"/>
        <v>0</v>
      </c>
      <c r="BG78" s="20"/>
      <c r="BH78" s="20" t="s">
        <v>440</v>
      </c>
      <c r="BI78" s="20"/>
      <c r="BJ78" s="20">
        <v>85000</v>
      </c>
      <c r="BK78" s="16">
        <f t="shared" si="76"/>
        <v>0</v>
      </c>
      <c r="BL78" s="16"/>
      <c r="BM78" s="16" t="s">
        <v>131</v>
      </c>
      <c r="BN78" s="16"/>
      <c r="BO78" s="16">
        <v>250</v>
      </c>
      <c r="BP78" s="16">
        <f t="shared" si="63"/>
        <v>0</v>
      </c>
      <c r="BQ78" s="16"/>
      <c r="BR78" s="16" t="s">
        <v>361</v>
      </c>
      <c r="BS78" s="16"/>
      <c r="BT78" s="16">
        <v>9700</v>
      </c>
      <c r="BU78" s="16">
        <f t="shared" si="64"/>
        <v>0</v>
      </c>
      <c r="BV78" s="16"/>
      <c r="BW78" s="16" t="s">
        <v>264</v>
      </c>
      <c r="BX78" s="27"/>
      <c r="BY78" s="16">
        <v>5000</v>
      </c>
      <c r="BZ78" s="16">
        <f t="shared" si="65"/>
        <v>0</v>
      </c>
      <c r="CA78" s="16"/>
      <c r="CB78" s="16"/>
      <c r="CC78" s="16"/>
      <c r="CD78" s="16"/>
      <c r="CE78" s="16">
        <f t="shared" si="66"/>
        <v>0</v>
      </c>
      <c r="CF78" s="16"/>
      <c r="CG78" s="16" t="s">
        <v>57</v>
      </c>
      <c r="CH78" s="16"/>
      <c r="CI78" s="23">
        <v>4000</v>
      </c>
      <c r="CJ78" s="23">
        <f t="shared" si="67"/>
        <v>0</v>
      </c>
      <c r="CK78" s="20"/>
      <c r="CL78" s="16" t="s">
        <v>330</v>
      </c>
      <c r="CM78" s="16"/>
      <c r="CN78" s="16">
        <v>85000</v>
      </c>
      <c r="CO78" s="23">
        <f t="shared" si="68"/>
        <v>0</v>
      </c>
      <c r="CP78" s="16"/>
      <c r="CQ78" s="20" t="s">
        <v>324</v>
      </c>
      <c r="CR78" s="20"/>
      <c r="CS78" s="20">
        <v>17000</v>
      </c>
      <c r="CT78" s="23">
        <f t="shared" si="69"/>
        <v>0</v>
      </c>
      <c r="CU78" s="20"/>
      <c r="CV78" s="20" t="s">
        <v>90</v>
      </c>
      <c r="CW78" s="20"/>
      <c r="CX78" s="20">
        <v>7000</v>
      </c>
      <c r="CY78" s="23">
        <f t="shared" si="70"/>
        <v>0</v>
      </c>
      <c r="CZ78" s="20"/>
      <c r="DA78" s="20" t="s">
        <v>441</v>
      </c>
      <c r="DB78" s="20"/>
      <c r="DC78" s="20">
        <v>250</v>
      </c>
      <c r="DD78" s="23">
        <f t="shared" si="71"/>
        <v>0</v>
      </c>
      <c r="DE78" s="16"/>
      <c r="DF78" s="16" t="s">
        <v>41</v>
      </c>
      <c r="DG78" s="16"/>
      <c r="DH78" s="16">
        <v>28000</v>
      </c>
      <c r="DI78" s="16">
        <f t="shared" si="72"/>
        <v>0</v>
      </c>
      <c r="DJ78" s="20"/>
      <c r="DK78" s="20" t="s">
        <v>90</v>
      </c>
      <c r="DL78" s="20"/>
      <c r="DM78" s="20">
        <v>7000</v>
      </c>
      <c r="DN78" s="16">
        <f t="shared" si="73"/>
        <v>0</v>
      </c>
      <c r="DO78" s="20"/>
      <c r="DP78" s="20" t="s">
        <v>84</v>
      </c>
      <c r="DQ78" s="20"/>
      <c r="DR78" s="20">
        <v>100</v>
      </c>
      <c r="DS78" s="16">
        <f t="shared" si="74"/>
        <v>0</v>
      </c>
      <c r="DT78" s="20"/>
      <c r="DU78" s="16" t="s">
        <v>152</v>
      </c>
      <c r="DV78" s="16"/>
      <c r="DW78" s="16">
        <v>3000</v>
      </c>
      <c r="DX78" s="24">
        <f t="shared" si="75"/>
        <v>0</v>
      </c>
    </row>
    <row r="79" spans="1:128" s="2" customFormat="1" x14ac:dyDescent="0.3">
      <c r="A79" s="20"/>
      <c r="B79" s="16" t="str">
        <f>AX68</f>
        <v>OK</v>
      </c>
      <c r="C79" s="16">
        <f>BA97</f>
        <v>0</v>
      </c>
      <c r="D79" s="17"/>
      <c r="E79" s="20" t="s">
        <v>68</v>
      </c>
      <c r="F79" s="17"/>
      <c r="G79" s="17">
        <v>8000</v>
      </c>
      <c r="H79" s="16">
        <f t="shared" si="52"/>
        <v>0</v>
      </c>
      <c r="I79" s="19"/>
      <c r="J79" s="16" t="s">
        <v>53</v>
      </c>
      <c r="K79" s="27"/>
      <c r="L79" s="19">
        <v>1000</v>
      </c>
      <c r="M79" s="16">
        <f t="shared" si="53"/>
        <v>0</v>
      </c>
      <c r="N79" s="17"/>
      <c r="O79" s="20" t="s">
        <v>154</v>
      </c>
      <c r="P79" s="21"/>
      <c r="Q79" s="19">
        <v>15000</v>
      </c>
      <c r="R79" s="16">
        <f t="shared" si="54"/>
        <v>0</v>
      </c>
      <c r="S79" s="20"/>
      <c r="T79" s="16" t="s">
        <v>50</v>
      </c>
      <c r="U79" s="27"/>
      <c r="V79" s="19">
        <v>26500</v>
      </c>
      <c r="W79" s="16">
        <f t="shared" si="55"/>
        <v>0</v>
      </c>
      <c r="X79" s="16"/>
      <c r="Y79" s="16" t="s">
        <v>57</v>
      </c>
      <c r="Z79" s="16"/>
      <c r="AA79" s="16">
        <v>4000</v>
      </c>
      <c r="AB79" s="16">
        <f t="shared" si="56"/>
        <v>0</v>
      </c>
      <c r="AC79" s="20"/>
      <c r="AD79" s="20" t="s">
        <v>185</v>
      </c>
      <c r="AE79" s="20"/>
      <c r="AF79" s="16">
        <v>15000</v>
      </c>
      <c r="AG79" s="16">
        <f t="shared" si="57"/>
        <v>0</v>
      </c>
      <c r="AH79" s="16"/>
      <c r="AI79" s="16" t="s">
        <v>90</v>
      </c>
      <c r="AJ79" s="22"/>
      <c r="AK79" s="19">
        <v>7000</v>
      </c>
      <c r="AL79" s="16">
        <f t="shared" si="58"/>
        <v>0</v>
      </c>
      <c r="AM79" s="16"/>
      <c r="AN79" s="20" t="s">
        <v>179</v>
      </c>
      <c r="AO79" s="21"/>
      <c r="AP79" s="20">
        <v>35000</v>
      </c>
      <c r="AQ79" s="16">
        <f t="shared" si="59"/>
        <v>0</v>
      </c>
      <c r="AR79" s="16"/>
      <c r="AS79" s="16" t="s">
        <v>373</v>
      </c>
      <c r="AT79" s="27"/>
      <c r="AU79" s="16">
        <v>85000</v>
      </c>
      <c r="AV79" s="16">
        <f t="shared" si="60"/>
        <v>0</v>
      </c>
      <c r="AW79" s="16"/>
      <c r="AX79" s="16" t="s">
        <v>126</v>
      </c>
      <c r="AY79" s="16"/>
      <c r="AZ79" s="16">
        <v>10000</v>
      </c>
      <c r="BA79" s="16">
        <f t="shared" si="61"/>
        <v>0</v>
      </c>
      <c r="BB79" s="20"/>
      <c r="BC79" s="20" t="s">
        <v>68</v>
      </c>
      <c r="BD79" s="17"/>
      <c r="BE79" s="17">
        <v>9000</v>
      </c>
      <c r="BF79" s="16">
        <f t="shared" si="62"/>
        <v>0</v>
      </c>
      <c r="BG79" s="20"/>
      <c r="BH79" s="20" t="s">
        <v>442</v>
      </c>
      <c r="BI79" s="20"/>
      <c r="BJ79" s="20">
        <v>15000</v>
      </c>
      <c r="BK79" s="16">
        <f t="shared" si="76"/>
        <v>0</v>
      </c>
      <c r="BL79" s="16"/>
      <c r="BM79" s="16" t="s">
        <v>68</v>
      </c>
      <c r="BN79" s="16"/>
      <c r="BO79" s="16">
        <v>7000</v>
      </c>
      <c r="BP79" s="16">
        <f t="shared" si="63"/>
        <v>0</v>
      </c>
      <c r="BQ79" s="16"/>
      <c r="BR79" s="16" t="s">
        <v>435</v>
      </c>
      <c r="BS79" s="16"/>
      <c r="BT79" s="16">
        <v>23000</v>
      </c>
      <c r="BU79" s="16">
        <f t="shared" si="64"/>
        <v>0</v>
      </c>
      <c r="BV79" s="16"/>
      <c r="BW79" s="16" t="s">
        <v>171</v>
      </c>
      <c r="BX79" s="16"/>
      <c r="BY79" s="16">
        <v>13000</v>
      </c>
      <c r="BZ79" s="16">
        <f t="shared" si="65"/>
        <v>0</v>
      </c>
      <c r="CA79" s="16"/>
      <c r="CB79" s="16"/>
      <c r="CC79" s="16"/>
      <c r="CD79" s="16"/>
      <c r="CE79" s="16">
        <f t="shared" si="66"/>
        <v>0</v>
      </c>
      <c r="CF79" s="16"/>
      <c r="CG79" s="16" t="s">
        <v>178</v>
      </c>
      <c r="CH79" s="16"/>
      <c r="CI79" s="23">
        <v>250</v>
      </c>
      <c r="CJ79" s="23">
        <f t="shared" si="67"/>
        <v>0</v>
      </c>
      <c r="CK79" s="20"/>
      <c r="CL79" s="20" t="s">
        <v>443</v>
      </c>
      <c r="CM79" s="20"/>
      <c r="CN79" s="20">
        <v>30000</v>
      </c>
      <c r="CO79" s="23">
        <f t="shared" si="68"/>
        <v>0</v>
      </c>
      <c r="CP79" s="16"/>
      <c r="CQ79" s="16" t="s">
        <v>170</v>
      </c>
      <c r="CR79" s="16"/>
      <c r="CS79" s="16">
        <v>35000</v>
      </c>
      <c r="CT79" s="23">
        <f t="shared" si="69"/>
        <v>0</v>
      </c>
      <c r="CU79" s="20"/>
      <c r="CV79" s="20" t="s">
        <v>368</v>
      </c>
      <c r="CW79" s="20"/>
      <c r="CX79" s="20">
        <v>1000</v>
      </c>
      <c r="CY79" s="23">
        <f t="shared" si="70"/>
        <v>0</v>
      </c>
      <c r="CZ79" s="20"/>
      <c r="DA79" s="20" t="s">
        <v>57</v>
      </c>
      <c r="DB79" s="20"/>
      <c r="DC79" s="20">
        <v>4000</v>
      </c>
      <c r="DD79" s="23">
        <f t="shared" si="71"/>
        <v>0</v>
      </c>
      <c r="DE79" s="16"/>
      <c r="DF79" s="16" t="s">
        <v>69</v>
      </c>
      <c r="DG79" s="16"/>
      <c r="DH79" s="16">
        <v>90000</v>
      </c>
      <c r="DI79" s="16">
        <f t="shared" si="72"/>
        <v>0</v>
      </c>
      <c r="DJ79" s="20"/>
      <c r="DK79" s="16" t="s">
        <v>105</v>
      </c>
      <c r="DL79" s="27"/>
      <c r="DM79" s="19">
        <v>700</v>
      </c>
      <c r="DN79" s="16">
        <f t="shared" si="73"/>
        <v>0</v>
      </c>
      <c r="DO79" s="20"/>
      <c r="DP79" s="20" t="s">
        <v>273</v>
      </c>
      <c r="DQ79" s="20"/>
      <c r="DR79" s="20">
        <v>4000</v>
      </c>
      <c r="DS79" s="16">
        <f t="shared" si="74"/>
        <v>0</v>
      </c>
      <c r="DT79" s="20"/>
      <c r="DU79" s="20" t="s">
        <v>416</v>
      </c>
      <c r="DV79" s="20"/>
      <c r="DW79" s="20">
        <v>250</v>
      </c>
      <c r="DX79" s="24">
        <f t="shared" si="75"/>
        <v>0</v>
      </c>
    </row>
    <row r="80" spans="1:128" s="2" customFormat="1" x14ac:dyDescent="0.3">
      <c r="A80" s="20"/>
      <c r="B80" s="16" t="str">
        <f>BC68</f>
        <v>VK</v>
      </c>
      <c r="C80" s="16">
        <f>BF97</f>
        <v>0</v>
      </c>
      <c r="D80" s="17"/>
      <c r="E80" s="20" t="s">
        <v>143</v>
      </c>
      <c r="F80" s="17"/>
      <c r="G80" s="17">
        <v>15000</v>
      </c>
      <c r="H80" s="16">
        <f t="shared" si="52"/>
        <v>0</v>
      </c>
      <c r="I80" s="19"/>
      <c r="J80" s="16" t="s">
        <v>119</v>
      </c>
      <c r="K80" s="27"/>
      <c r="L80" s="19">
        <v>250</v>
      </c>
      <c r="M80" s="16">
        <f t="shared" si="53"/>
        <v>0</v>
      </c>
      <c r="N80" s="17"/>
      <c r="O80" s="20" t="s">
        <v>289</v>
      </c>
      <c r="P80" s="21"/>
      <c r="Q80" s="19">
        <v>250</v>
      </c>
      <c r="R80" s="16">
        <f t="shared" si="54"/>
        <v>0</v>
      </c>
      <c r="S80" s="20"/>
      <c r="T80" s="20" t="s">
        <v>285</v>
      </c>
      <c r="U80" s="20"/>
      <c r="V80" s="20">
        <v>8500</v>
      </c>
      <c r="W80" s="16">
        <f t="shared" si="55"/>
        <v>0</v>
      </c>
      <c r="X80" s="16"/>
      <c r="Y80" s="16" t="s">
        <v>49</v>
      </c>
      <c r="Z80" s="16"/>
      <c r="AA80" s="16">
        <v>50000</v>
      </c>
      <c r="AB80" s="16">
        <f t="shared" si="56"/>
        <v>0</v>
      </c>
      <c r="AC80" s="20"/>
      <c r="AD80" s="20" t="s">
        <v>166</v>
      </c>
      <c r="AE80" s="20"/>
      <c r="AF80" s="16">
        <v>28000</v>
      </c>
      <c r="AG80" s="16">
        <f t="shared" si="57"/>
        <v>0</v>
      </c>
      <c r="AH80" s="16"/>
      <c r="AI80" s="16" t="s">
        <v>147</v>
      </c>
      <c r="AJ80" s="22"/>
      <c r="AK80" s="19">
        <v>250</v>
      </c>
      <c r="AL80" s="16">
        <f t="shared" si="58"/>
        <v>0</v>
      </c>
      <c r="AM80" s="16"/>
      <c r="AN80" s="16" t="s">
        <v>62</v>
      </c>
      <c r="AO80" s="27"/>
      <c r="AP80" s="16">
        <v>15000</v>
      </c>
      <c r="AQ80" s="16">
        <f t="shared" si="59"/>
        <v>0</v>
      </c>
      <c r="AR80" s="16"/>
      <c r="AS80" s="16" t="s">
        <v>201</v>
      </c>
      <c r="AT80" s="16"/>
      <c r="AU80" s="16">
        <v>2500</v>
      </c>
      <c r="AV80" s="16">
        <f t="shared" si="60"/>
        <v>0</v>
      </c>
      <c r="AW80" s="16"/>
      <c r="AX80" s="16" t="s">
        <v>164</v>
      </c>
      <c r="AY80" s="16"/>
      <c r="AZ80" s="16">
        <v>15000</v>
      </c>
      <c r="BA80" s="16">
        <f t="shared" si="61"/>
        <v>0</v>
      </c>
      <c r="BB80" s="20"/>
      <c r="BC80" s="20" t="s">
        <v>57</v>
      </c>
      <c r="BD80" s="17"/>
      <c r="BE80" s="17">
        <v>4000</v>
      </c>
      <c r="BF80" s="16">
        <f t="shared" si="62"/>
        <v>0</v>
      </c>
      <c r="BG80" s="20"/>
      <c r="BH80" s="20" t="s">
        <v>68</v>
      </c>
      <c r="BI80" s="20"/>
      <c r="BJ80" s="20">
        <v>9000</v>
      </c>
      <c r="BK80" s="16">
        <f t="shared" si="76"/>
        <v>0</v>
      </c>
      <c r="BL80" s="16"/>
      <c r="BM80" s="16" t="s">
        <v>57</v>
      </c>
      <c r="BN80" s="16"/>
      <c r="BO80" s="16">
        <v>4000</v>
      </c>
      <c r="BP80" s="16">
        <f t="shared" si="63"/>
        <v>0</v>
      </c>
      <c r="BQ80" s="16"/>
      <c r="BR80" s="16" t="s">
        <v>444</v>
      </c>
      <c r="BS80" s="16"/>
      <c r="BT80" s="16">
        <v>38000</v>
      </c>
      <c r="BU80" s="16">
        <f t="shared" si="64"/>
        <v>0</v>
      </c>
      <c r="BV80" s="16"/>
      <c r="BW80" s="16"/>
      <c r="BX80" s="16"/>
      <c r="BY80" s="16"/>
      <c r="BZ80" s="16">
        <f t="shared" si="65"/>
        <v>0</v>
      </c>
      <c r="CA80" s="16"/>
      <c r="CB80" s="16"/>
      <c r="CC80" s="16"/>
      <c r="CD80" s="16"/>
      <c r="CE80" s="16">
        <f t="shared" si="66"/>
        <v>0</v>
      </c>
      <c r="CF80" s="16"/>
      <c r="CG80" s="16" t="s">
        <v>189</v>
      </c>
      <c r="CH80" s="16"/>
      <c r="CI80" s="23">
        <v>10000</v>
      </c>
      <c r="CJ80" s="23">
        <f t="shared" si="67"/>
        <v>0</v>
      </c>
      <c r="CK80" s="20"/>
      <c r="CL80" s="20"/>
      <c r="CM80" s="20"/>
      <c r="CN80" s="20"/>
      <c r="CO80" s="23">
        <f t="shared" si="68"/>
        <v>0</v>
      </c>
      <c r="CP80" s="16"/>
      <c r="CQ80" s="16" t="s">
        <v>58</v>
      </c>
      <c r="CR80" s="16"/>
      <c r="CS80" s="16">
        <v>85000</v>
      </c>
      <c r="CT80" s="23">
        <f t="shared" si="69"/>
        <v>0</v>
      </c>
      <c r="CU80" s="20"/>
      <c r="CV80" s="20" t="s">
        <v>65</v>
      </c>
      <c r="CW80" s="20"/>
      <c r="CX80" s="20">
        <v>1550</v>
      </c>
      <c r="CY80" s="23">
        <f t="shared" si="70"/>
        <v>0</v>
      </c>
      <c r="CZ80" s="20"/>
      <c r="DA80" s="16" t="s">
        <v>172</v>
      </c>
      <c r="DB80" s="16"/>
      <c r="DC80" s="16">
        <v>15000</v>
      </c>
      <c r="DD80" s="23">
        <f t="shared" si="71"/>
        <v>0</v>
      </c>
      <c r="DE80" s="16"/>
      <c r="DF80" s="16" t="s">
        <v>178</v>
      </c>
      <c r="DG80" s="16"/>
      <c r="DH80" s="16">
        <v>250</v>
      </c>
      <c r="DI80" s="16">
        <f t="shared" si="72"/>
        <v>0</v>
      </c>
      <c r="DJ80" s="20"/>
      <c r="DK80" s="16" t="s">
        <v>144</v>
      </c>
      <c r="DL80" s="27"/>
      <c r="DM80" s="19">
        <v>700</v>
      </c>
      <c r="DN80" s="16">
        <f t="shared" si="73"/>
        <v>0</v>
      </c>
      <c r="DO80" s="20"/>
      <c r="DP80" s="20" t="s">
        <v>260</v>
      </c>
      <c r="DQ80" s="20"/>
      <c r="DR80" s="20">
        <v>250</v>
      </c>
      <c r="DS80" s="16">
        <f t="shared" si="74"/>
        <v>0</v>
      </c>
      <c r="DT80" s="20"/>
      <c r="DU80" s="20" t="s">
        <v>312</v>
      </c>
      <c r="DV80" s="20"/>
      <c r="DW80" s="20">
        <v>12000</v>
      </c>
      <c r="DX80" s="24">
        <f t="shared" si="75"/>
        <v>0</v>
      </c>
    </row>
    <row r="81" spans="1:128" s="2" customFormat="1" x14ac:dyDescent="0.3">
      <c r="A81" s="20"/>
      <c r="B81" s="16" t="str">
        <f>BH68</f>
        <v>MULTAZAM</v>
      </c>
      <c r="C81" s="16">
        <f>BK97</f>
        <v>0</v>
      </c>
      <c r="D81" s="17"/>
      <c r="E81" s="20" t="s">
        <v>445</v>
      </c>
      <c r="F81" s="17"/>
      <c r="G81" s="17">
        <v>85000</v>
      </c>
      <c r="H81" s="16">
        <f t="shared" si="52"/>
        <v>0</v>
      </c>
      <c r="I81" s="19"/>
      <c r="J81" s="16" t="s">
        <v>446</v>
      </c>
      <c r="K81" s="27"/>
      <c r="L81" s="19">
        <v>350</v>
      </c>
      <c r="M81" s="16">
        <f t="shared" si="53"/>
        <v>0</v>
      </c>
      <c r="N81" s="17"/>
      <c r="O81" s="20" t="s">
        <v>335</v>
      </c>
      <c r="P81" s="21"/>
      <c r="Q81" s="19">
        <v>5000</v>
      </c>
      <c r="R81" s="16">
        <f t="shared" si="54"/>
        <v>0</v>
      </c>
      <c r="S81" s="20"/>
      <c r="T81" s="20" t="s">
        <v>334</v>
      </c>
      <c r="U81" s="20"/>
      <c r="V81" s="20">
        <v>250</v>
      </c>
      <c r="W81" s="16">
        <f t="shared" si="55"/>
        <v>0</v>
      </c>
      <c r="X81" s="16"/>
      <c r="Y81" s="16"/>
      <c r="Z81" s="16"/>
      <c r="AA81" s="16"/>
      <c r="AB81" s="16">
        <f t="shared" si="56"/>
        <v>0</v>
      </c>
      <c r="AC81" s="20"/>
      <c r="AD81" s="20" t="s">
        <v>177</v>
      </c>
      <c r="AE81" s="20"/>
      <c r="AF81" s="16">
        <v>39000</v>
      </c>
      <c r="AG81" s="16">
        <f t="shared" si="57"/>
        <v>0</v>
      </c>
      <c r="AH81" s="16"/>
      <c r="AI81" s="16" t="s">
        <v>96</v>
      </c>
      <c r="AJ81" s="22"/>
      <c r="AK81" s="19">
        <v>10000</v>
      </c>
      <c r="AL81" s="16">
        <f t="shared" si="58"/>
        <v>0</v>
      </c>
      <c r="AM81" s="16"/>
      <c r="AN81" s="16" t="s">
        <v>264</v>
      </c>
      <c r="AO81" s="27"/>
      <c r="AP81" s="16">
        <v>5000</v>
      </c>
      <c r="AQ81" s="16">
        <f t="shared" si="59"/>
        <v>0</v>
      </c>
      <c r="AR81" s="16"/>
      <c r="AS81" s="16" t="s">
        <v>254</v>
      </c>
      <c r="AT81" s="16"/>
      <c r="AU81" s="16">
        <v>5000</v>
      </c>
      <c r="AV81" s="16">
        <f t="shared" si="60"/>
        <v>0</v>
      </c>
      <c r="AW81" s="16"/>
      <c r="AX81" s="16" t="s">
        <v>149</v>
      </c>
      <c r="AY81" s="16"/>
      <c r="AZ81" s="16">
        <v>17000</v>
      </c>
      <c r="BA81" s="16">
        <f t="shared" si="61"/>
        <v>0</v>
      </c>
      <c r="BB81" s="20"/>
      <c r="BC81" s="16" t="s">
        <v>197</v>
      </c>
      <c r="BD81" s="16"/>
      <c r="BE81" s="16">
        <v>15000</v>
      </c>
      <c r="BF81" s="16">
        <f t="shared" si="62"/>
        <v>0</v>
      </c>
      <c r="BG81" s="20"/>
      <c r="BH81" s="20" t="s">
        <v>57</v>
      </c>
      <c r="BI81" s="20"/>
      <c r="BJ81" s="20">
        <v>4000</v>
      </c>
      <c r="BK81" s="16">
        <f t="shared" si="76"/>
        <v>0</v>
      </c>
      <c r="BL81" s="16"/>
      <c r="BM81" s="16" t="s">
        <v>53</v>
      </c>
      <c r="BN81" s="16"/>
      <c r="BO81" s="16">
        <v>1000</v>
      </c>
      <c r="BP81" s="16">
        <f t="shared" si="63"/>
        <v>0</v>
      </c>
      <c r="BQ81" s="16"/>
      <c r="BR81" s="16" t="s">
        <v>447</v>
      </c>
      <c r="BS81" s="16"/>
      <c r="BT81" s="16">
        <v>60000</v>
      </c>
      <c r="BU81" s="16">
        <f t="shared" si="64"/>
        <v>0</v>
      </c>
      <c r="BV81" s="16"/>
      <c r="BW81" s="16"/>
      <c r="BX81" s="16"/>
      <c r="BY81" s="16"/>
      <c r="BZ81" s="16">
        <f t="shared" si="65"/>
        <v>0</v>
      </c>
      <c r="CA81" s="16"/>
      <c r="CB81" s="16"/>
      <c r="CC81" s="16"/>
      <c r="CD81" s="16"/>
      <c r="CE81" s="16">
        <f t="shared" si="66"/>
        <v>0</v>
      </c>
      <c r="CF81" s="16"/>
      <c r="CG81" s="16" t="s">
        <v>448</v>
      </c>
      <c r="CH81" s="16"/>
      <c r="CI81" s="23">
        <v>31000</v>
      </c>
      <c r="CJ81" s="23">
        <f t="shared" si="67"/>
        <v>0</v>
      </c>
      <c r="CK81" s="20"/>
      <c r="CL81" s="20"/>
      <c r="CM81" s="20"/>
      <c r="CN81" s="20"/>
      <c r="CO81" s="23">
        <f t="shared" si="68"/>
        <v>0</v>
      </c>
      <c r="CP81" s="16"/>
      <c r="CQ81" s="16" t="s">
        <v>389</v>
      </c>
      <c r="CR81" s="16"/>
      <c r="CS81" s="16">
        <v>1500</v>
      </c>
      <c r="CT81" s="23">
        <f t="shared" si="69"/>
        <v>0</v>
      </c>
      <c r="CU81" s="20"/>
      <c r="CV81" s="20" t="s">
        <v>449</v>
      </c>
      <c r="CW81" s="20"/>
      <c r="CX81" s="20">
        <v>250</v>
      </c>
      <c r="CY81" s="23">
        <f t="shared" si="70"/>
        <v>0</v>
      </c>
      <c r="CZ81" s="20"/>
      <c r="DA81" s="20" t="s">
        <v>450</v>
      </c>
      <c r="DB81" s="20"/>
      <c r="DC81" s="20">
        <v>250</v>
      </c>
      <c r="DD81" s="23">
        <f t="shared" si="71"/>
        <v>0</v>
      </c>
      <c r="DE81" s="16"/>
      <c r="DF81" s="16" t="s">
        <v>64</v>
      </c>
      <c r="DG81" s="16"/>
      <c r="DH81" s="16">
        <v>5000</v>
      </c>
      <c r="DI81" s="16">
        <f t="shared" si="72"/>
        <v>0</v>
      </c>
      <c r="DJ81" s="20"/>
      <c r="DK81" s="20" t="s">
        <v>57</v>
      </c>
      <c r="DL81" s="20"/>
      <c r="DM81" s="20">
        <v>4000</v>
      </c>
      <c r="DN81" s="16">
        <f t="shared" si="73"/>
        <v>0</v>
      </c>
      <c r="DO81" s="20"/>
      <c r="DP81" s="20" t="s">
        <v>117</v>
      </c>
      <c r="DQ81" s="20"/>
      <c r="DR81" s="20">
        <v>250</v>
      </c>
      <c r="DS81" s="16">
        <f t="shared" si="74"/>
        <v>0</v>
      </c>
      <c r="DT81" s="20"/>
      <c r="DU81" s="20" t="s">
        <v>137</v>
      </c>
      <c r="DV81" s="20"/>
      <c r="DW81" s="20">
        <v>250</v>
      </c>
      <c r="DX81" s="24">
        <f t="shared" si="75"/>
        <v>0</v>
      </c>
    </row>
    <row r="82" spans="1:128" s="2" customFormat="1" x14ac:dyDescent="0.3">
      <c r="A82" s="20"/>
      <c r="B82" s="16" t="str">
        <f>BM68</f>
        <v>MARWA</v>
      </c>
      <c r="C82" s="16">
        <f>BP97</f>
        <v>0</v>
      </c>
      <c r="D82" s="17"/>
      <c r="E82" s="20" t="s">
        <v>174</v>
      </c>
      <c r="F82" s="17"/>
      <c r="G82" s="17">
        <v>20000</v>
      </c>
      <c r="H82" s="16">
        <f t="shared" si="52"/>
        <v>0</v>
      </c>
      <c r="I82" s="19"/>
      <c r="J82" s="16" t="s">
        <v>451</v>
      </c>
      <c r="K82" s="27"/>
      <c r="L82" s="19">
        <v>350</v>
      </c>
      <c r="M82" s="16">
        <f t="shared" si="53"/>
        <v>0</v>
      </c>
      <c r="N82" s="17"/>
      <c r="O82" s="20" t="s">
        <v>339</v>
      </c>
      <c r="P82" s="21"/>
      <c r="Q82" s="19">
        <v>7000</v>
      </c>
      <c r="R82" s="16">
        <f t="shared" si="54"/>
        <v>0</v>
      </c>
      <c r="S82" s="20"/>
      <c r="T82" s="20" t="s">
        <v>147</v>
      </c>
      <c r="U82" s="20"/>
      <c r="V82" s="20">
        <v>250</v>
      </c>
      <c r="W82" s="16">
        <f t="shared" si="55"/>
        <v>0</v>
      </c>
      <c r="X82" s="16"/>
      <c r="Y82" s="16"/>
      <c r="Z82" s="16"/>
      <c r="AA82" s="16"/>
      <c r="AB82" s="16">
        <f t="shared" si="56"/>
        <v>0</v>
      </c>
      <c r="AC82" s="20"/>
      <c r="AD82" s="20" t="s">
        <v>47</v>
      </c>
      <c r="AE82" s="20"/>
      <c r="AF82" s="16">
        <v>4400</v>
      </c>
      <c r="AG82" s="16">
        <f t="shared" si="57"/>
        <v>0</v>
      </c>
      <c r="AH82" s="16"/>
      <c r="AI82" s="16" t="s">
        <v>310</v>
      </c>
      <c r="AJ82" s="22"/>
      <c r="AK82" s="19">
        <v>20000</v>
      </c>
      <c r="AL82" s="16">
        <f t="shared" si="58"/>
        <v>0</v>
      </c>
      <c r="AM82" s="16"/>
      <c r="AN82" s="16" t="s">
        <v>43</v>
      </c>
      <c r="AO82" s="27"/>
      <c r="AP82" s="16">
        <v>1500</v>
      </c>
      <c r="AQ82" s="16">
        <f t="shared" ref="AQ82:AQ96" si="77">SUM(AO82*AP82)</f>
        <v>0</v>
      </c>
      <c r="AR82" s="16"/>
      <c r="AS82" s="20" t="s">
        <v>107</v>
      </c>
      <c r="AT82" s="20"/>
      <c r="AU82" s="20">
        <v>11000</v>
      </c>
      <c r="AV82" s="16">
        <f t="shared" si="60"/>
        <v>0</v>
      </c>
      <c r="AW82" s="16"/>
      <c r="AX82" s="16" t="s">
        <v>264</v>
      </c>
      <c r="AY82" s="16"/>
      <c r="AZ82" s="16">
        <v>5000</v>
      </c>
      <c r="BA82" s="16">
        <f t="shared" si="61"/>
        <v>0</v>
      </c>
      <c r="BB82" s="20"/>
      <c r="BC82" s="20" t="s">
        <v>164</v>
      </c>
      <c r="BD82" s="17"/>
      <c r="BE82" s="17">
        <v>15000</v>
      </c>
      <c r="BF82" s="16">
        <f t="shared" si="62"/>
        <v>0</v>
      </c>
      <c r="BG82" s="20"/>
      <c r="BH82" s="20" t="s">
        <v>136</v>
      </c>
      <c r="BI82" s="20"/>
      <c r="BJ82" s="20">
        <v>250</v>
      </c>
      <c r="BK82" s="16">
        <f t="shared" si="76"/>
        <v>0</v>
      </c>
      <c r="BL82" s="16"/>
      <c r="BM82" s="16" t="s">
        <v>69</v>
      </c>
      <c r="BN82" s="16"/>
      <c r="BO82" s="16">
        <v>1000</v>
      </c>
      <c r="BP82" s="16">
        <f t="shared" si="63"/>
        <v>0</v>
      </c>
      <c r="BQ82" s="16"/>
      <c r="BR82" s="16"/>
      <c r="BS82" s="16"/>
      <c r="BT82" s="16"/>
      <c r="BU82" s="16">
        <f t="shared" si="64"/>
        <v>0</v>
      </c>
      <c r="BV82" s="16"/>
      <c r="BW82" s="16"/>
      <c r="BX82" s="16"/>
      <c r="BY82" s="16"/>
      <c r="BZ82" s="16">
        <f t="shared" si="65"/>
        <v>0</v>
      </c>
      <c r="CA82" s="16"/>
      <c r="CB82" s="16"/>
      <c r="CC82" s="16"/>
      <c r="CD82" s="16"/>
      <c r="CE82" s="16">
        <f t="shared" si="66"/>
        <v>0</v>
      </c>
      <c r="CF82" s="16"/>
      <c r="CG82" s="16" t="s">
        <v>452</v>
      </c>
      <c r="CH82" s="16"/>
      <c r="CI82" s="23">
        <v>5000</v>
      </c>
      <c r="CJ82" s="23">
        <f t="shared" si="67"/>
        <v>0</v>
      </c>
      <c r="CK82" s="20"/>
      <c r="CL82" s="20"/>
      <c r="CM82" s="20"/>
      <c r="CN82" s="20"/>
      <c r="CO82" s="23">
        <f t="shared" si="68"/>
        <v>0</v>
      </c>
      <c r="CP82" s="16"/>
      <c r="CQ82" s="18" t="s">
        <v>38</v>
      </c>
      <c r="CR82" s="17"/>
      <c r="CS82" s="17">
        <v>50000</v>
      </c>
      <c r="CT82" s="23">
        <f t="shared" si="69"/>
        <v>0</v>
      </c>
      <c r="CU82" s="20"/>
      <c r="CV82" s="20" t="s">
        <v>453</v>
      </c>
      <c r="CW82" s="20"/>
      <c r="CX82" s="20">
        <v>250</v>
      </c>
      <c r="CY82" s="23">
        <f t="shared" si="70"/>
        <v>0</v>
      </c>
      <c r="CZ82" s="20"/>
      <c r="DA82" s="20" t="s">
        <v>454</v>
      </c>
      <c r="DB82" s="20"/>
      <c r="DC82" s="20">
        <v>250</v>
      </c>
      <c r="DD82" s="23">
        <f t="shared" si="71"/>
        <v>0</v>
      </c>
      <c r="DE82" s="16"/>
      <c r="DF82" s="20" t="s">
        <v>455</v>
      </c>
      <c r="DG82" s="20"/>
      <c r="DH82" s="20">
        <v>1550</v>
      </c>
      <c r="DI82" s="16">
        <f t="shared" si="72"/>
        <v>0</v>
      </c>
      <c r="DJ82" s="20"/>
      <c r="DK82" s="20" t="s">
        <v>456</v>
      </c>
      <c r="DL82" s="20"/>
      <c r="DM82" s="20">
        <v>250</v>
      </c>
      <c r="DN82" s="16">
        <f t="shared" si="73"/>
        <v>0</v>
      </c>
      <c r="DO82" s="20"/>
      <c r="DP82" s="20" t="s">
        <v>136</v>
      </c>
      <c r="DQ82" s="20"/>
      <c r="DR82" s="20">
        <v>250</v>
      </c>
      <c r="DS82" s="16">
        <f t="shared" si="74"/>
        <v>0</v>
      </c>
      <c r="DT82" s="20"/>
      <c r="DU82" s="20" t="s">
        <v>457</v>
      </c>
      <c r="DV82" s="20"/>
      <c r="DW82" s="20">
        <v>1550</v>
      </c>
      <c r="DX82" s="24">
        <f t="shared" si="75"/>
        <v>0</v>
      </c>
    </row>
    <row r="83" spans="1:128" s="2" customFormat="1" x14ac:dyDescent="0.3">
      <c r="A83" s="20"/>
      <c r="B83" s="16" t="str">
        <f>BR68</f>
        <v xml:space="preserve">HK </v>
      </c>
      <c r="C83" s="16">
        <f>BU97</f>
        <v>0</v>
      </c>
      <c r="D83" s="17"/>
      <c r="E83" s="20" t="s">
        <v>345</v>
      </c>
      <c r="F83" s="17"/>
      <c r="G83" s="17">
        <v>85000</v>
      </c>
      <c r="H83" s="16">
        <f t="shared" si="52"/>
        <v>0</v>
      </c>
      <c r="I83" s="19"/>
      <c r="J83" s="16" t="s">
        <v>211</v>
      </c>
      <c r="K83" s="27"/>
      <c r="L83" s="19">
        <v>250</v>
      </c>
      <c r="M83" s="16">
        <f t="shared" si="53"/>
        <v>0</v>
      </c>
      <c r="N83" s="17"/>
      <c r="O83" s="20" t="s">
        <v>347</v>
      </c>
      <c r="P83" s="21"/>
      <c r="Q83" s="19">
        <v>15000</v>
      </c>
      <c r="R83" s="16">
        <f t="shared" si="54"/>
        <v>0</v>
      </c>
      <c r="S83" s="20"/>
      <c r="T83" s="20" t="s">
        <v>141</v>
      </c>
      <c r="U83" s="20"/>
      <c r="V83" s="20">
        <v>250</v>
      </c>
      <c r="W83" s="16">
        <f t="shared" si="55"/>
        <v>0</v>
      </c>
      <c r="X83" s="16"/>
      <c r="Y83" s="16"/>
      <c r="Z83" s="16"/>
      <c r="AA83" s="16"/>
      <c r="AB83" s="16">
        <f t="shared" si="56"/>
        <v>0</v>
      </c>
      <c r="AC83" s="20"/>
      <c r="AD83" s="20" t="s">
        <v>200</v>
      </c>
      <c r="AE83" s="20"/>
      <c r="AF83" s="16">
        <v>2100</v>
      </c>
      <c r="AG83" s="16">
        <f t="shared" si="57"/>
        <v>0</v>
      </c>
      <c r="AH83" s="16"/>
      <c r="AI83" s="16" t="s">
        <v>189</v>
      </c>
      <c r="AJ83" s="22"/>
      <c r="AK83" s="19">
        <v>10000</v>
      </c>
      <c r="AL83" s="16">
        <f t="shared" si="58"/>
        <v>0</v>
      </c>
      <c r="AM83" s="16"/>
      <c r="AN83" s="16" t="s">
        <v>65</v>
      </c>
      <c r="AO83" s="27"/>
      <c r="AP83" s="16">
        <v>950</v>
      </c>
      <c r="AQ83" s="16">
        <f t="shared" si="77"/>
        <v>0</v>
      </c>
      <c r="AR83" s="16"/>
      <c r="AS83" s="16" t="s">
        <v>264</v>
      </c>
      <c r="AT83" s="16"/>
      <c r="AU83" s="16">
        <v>5000</v>
      </c>
      <c r="AV83" s="16">
        <f t="shared" si="60"/>
        <v>0</v>
      </c>
      <c r="AW83" s="16"/>
      <c r="AX83" s="16" t="s">
        <v>170</v>
      </c>
      <c r="AY83" s="16"/>
      <c r="AZ83" s="16">
        <v>35000</v>
      </c>
      <c r="BA83" s="16">
        <f t="shared" si="61"/>
        <v>0</v>
      </c>
      <c r="BB83" s="20"/>
      <c r="BC83" s="20" t="s">
        <v>123</v>
      </c>
      <c r="BD83" s="17"/>
      <c r="BE83" s="17">
        <v>250</v>
      </c>
      <c r="BF83" s="16">
        <f t="shared" si="62"/>
        <v>0</v>
      </c>
      <c r="BG83" s="20"/>
      <c r="BH83" s="20" t="s">
        <v>141</v>
      </c>
      <c r="BI83" s="20"/>
      <c r="BJ83" s="20">
        <v>250</v>
      </c>
      <c r="BK83" s="16">
        <f t="shared" si="76"/>
        <v>0</v>
      </c>
      <c r="BL83" s="16"/>
      <c r="BM83" s="16" t="s">
        <v>131</v>
      </c>
      <c r="BN83" s="16"/>
      <c r="BO83" s="16">
        <v>250</v>
      </c>
      <c r="BP83" s="16">
        <f t="shared" si="63"/>
        <v>0</v>
      </c>
      <c r="BQ83" s="16"/>
      <c r="BR83" s="16" t="s">
        <v>149</v>
      </c>
      <c r="BS83" s="16"/>
      <c r="BT83" s="16">
        <v>60000</v>
      </c>
      <c r="BU83" s="16">
        <f t="shared" si="64"/>
        <v>0</v>
      </c>
      <c r="BV83" s="16"/>
      <c r="BW83" s="16"/>
      <c r="BX83" s="16"/>
      <c r="BY83" s="16"/>
      <c r="BZ83" s="16">
        <f t="shared" si="65"/>
        <v>0</v>
      </c>
      <c r="CA83" s="16"/>
      <c r="CB83" s="16"/>
      <c r="CC83" s="16"/>
      <c r="CD83" s="16"/>
      <c r="CE83" s="16">
        <f t="shared" si="66"/>
        <v>0</v>
      </c>
      <c r="CF83" s="16"/>
      <c r="CG83" s="16" t="s">
        <v>194</v>
      </c>
      <c r="CH83" s="16"/>
      <c r="CI83" s="23">
        <v>1000</v>
      </c>
      <c r="CJ83" s="23">
        <f t="shared" si="67"/>
        <v>0</v>
      </c>
      <c r="CK83" s="20"/>
      <c r="CL83" s="20"/>
      <c r="CM83" s="20"/>
      <c r="CN83" s="20"/>
      <c r="CO83" s="23">
        <f t="shared" si="68"/>
        <v>0</v>
      </c>
      <c r="CP83" s="16"/>
      <c r="CQ83" s="20" t="s">
        <v>56</v>
      </c>
      <c r="CR83" s="17"/>
      <c r="CS83" s="17">
        <v>46500</v>
      </c>
      <c r="CT83" s="23">
        <f t="shared" si="69"/>
        <v>0</v>
      </c>
      <c r="CU83" s="20"/>
      <c r="CV83" s="20" t="s">
        <v>147</v>
      </c>
      <c r="CW83" s="20"/>
      <c r="CX83" s="20">
        <v>250</v>
      </c>
      <c r="CY83" s="23">
        <f t="shared" si="70"/>
        <v>0</v>
      </c>
      <c r="CZ83" s="20"/>
      <c r="DA83" s="20" t="s">
        <v>458</v>
      </c>
      <c r="DB83" s="20"/>
      <c r="DC83" s="20">
        <v>250</v>
      </c>
      <c r="DD83" s="23">
        <f t="shared" si="71"/>
        <v>0</v>
      </c>
      <c r="DE83" s="16"/>
      <c r="DF83" s="16" t="s">
        <v>90</v>
      </c>
      <c r="DG83" s="16"/>
      <c r="DH83" s="16">
        <v>7000</v>
      </c>
      <c r="DI83" s="16">
        <f t="shared" si="72"/>
        <v>0</v>
      </c>
      <c r="DJ83" s="20"/>
      <c r="DK83" s="20" t="s">
        <v>88</v>
      </c>
      <c r="DL83" s="20"/>
      <c r="DM83" s="20">
        <v>350</v>
      </c>
      <c r="DN83" s="16">
        <f t="shared" si="73"/>
        <v>0</v>
      </c>
      <c r="DO83" s="20"/>
      <c r="DP83" s="16" t="s">
        <v>152</v>
      </c>
      <c r="DQ83" s="16"/>
      <c r="DR83" s="16">
        <v>3000</v>
      </c>
      <c r="DS83" s="16">
        <f t="shared" si="74"/>
        <v>0</v>
      </c>
      <c r="DT83" s="20"/>
      <c r="DU83" s="20" t="s">
        <v>90</v>
      </c>
      <c r="DV83" s="20"/>
      <c r="DW83" s="20">
        <v>7000</v>
      </c>
      <c r="DX83" s="24">
        <f t="shared" si="75"/>
        <v>0</v>
      </c>
    </row>
    <row r="84" spans="1:128" s="2" customFormat="1" x14ac:dyDescent="0.3">
      <c r="A84" s="20"/>
      <c r="B84" s="16" t="str">
        <f>BW68</f>
        <v>LAUNDRY</v>
      </c>
      <c r="C84" s="16">
        <f>BZ97</f>
        <v>0</v>
      </c>
      <c r="D84" s="17"/>
      <c r="E84" s="20" t="s">
        <v>226</v>
      </c>
      <c r="F84" s="17"/>
      <c r="G84" s="17">
        <v>2500</v>
      </c>
      <c r="H84" s="16">
        <f t="shared" si="52"/>
        <v>0</v>
      </c>
      <c r="I84" s="19"/>
      <c r="J84" s="16" t="s">
        <v>459</v>
      </c>
      <c r="K84" s="27"/>
      <c r="L84" s="19">
        <v>350</v>
      </c>
      <c r="M84" s="16">
        <f t="shared" si="53"/>
        <v>0</v>
      </c>
      <c r="N84" s="17"/>
      <c r="O84" s="20" t="s">
        <v>352</v>
      </c>
      <c r="P84" s="21"/>
      <c r="Q84" s="19">
        <v>20000</v>
      </c>
      <c r="R84" s="16">
        <f t="shared" si="54"/>
        <v>0</v>
      </c>
      <c r="S84" s="20"/>
      <c r="T84" s="20" t="s">
        <v>460</v>
      </c>
      <c r="U84" s="20"/>
      <c r="V84" s="20">
        <v>250</v>
      </c>
      <c r="W84" s="16">
        <f t="shared" si="55"/>
        <v>0</v>
      </c>
      <c r="X84" s="16"/>
      <c r="Y84" s="16"/>
      <c r="Z84" s="16"/>
      <c r="AA84" s="16"/>
      <c r="AB84" s="16">
        <f t="shared" si="56"/>
        <v>0</v>
      </c>
      <c r="AC84" s="20"/>
      <c r="AD84" s="20" t="s">
        <v>210</v>
      </c>
      <c r="AE84" s="20"/>
      <c r="AF84" s="16">
        <v>2600</v>
      </c>
      <c r="AG84" s="16">
        <f t="shared" si="57"/>
        <v>0</v>
      </c>
      <c r="AH84" s="16"/>
      <c r="AI84" s="16" t="s">
        <v>370</v>
      </c>
      <c r="AJ84" s="22"/>
      <c r="AK84" s="19">
        <v>2000</v>
      </c>
      <c r="AL84" s="16">
        <f t="shared" si="58"/>
        <v>0</v>
      </c>
      <c r="AM84" s="16"/>
      <c r="AN84" s="16" t="s">
        <v>461</v>
      </c>
      <c r="AO84" s="27"/>
      <c r="AP84" s="16">
        <v>15000</v>
      </c>
      <c r="AQ84" s="16">
        <f t="shared" si="77"/>
        <v>0</v>
      </c>
      <c r="AR84" s="16"/>
      <c r="AS84" s="16" t="s">
        <v>242</v>
      </c>
      <c r="AT84" s="16"/>
      <c r="AU84" s="16">
        <v>35000</v>
      </c>
      <c r="AV84" s="16">
        <f t="shared" si="60"/>
        <v>0</v>
      </c>
      <c r="AW84" s="16"/>
      <c r="AX84" s="16" t="s">
        <v>160</v>
      </c>
      <c r="AY84" s="16"/>
      <c r="AZ84" s="16">
        <v>250</v>
      </c>
      <c r="BA84" s="16">
        <f t="shared" si="61"/>
        <v>0</v>
      </c>
      <c r="BB84" s="20"/>
      <c r="BC84" s="20" t="s">
        <v>264</v>
      </c>
      <c r="BD84" s="17"/>
      <c r="BE84" s="17">
        <v>5000</v>
      </c>
      <c r="BF84" s="16">
        <f t="shared" si="62"/>
        <v>0</v>
      </c>
      <c r="BG84" s="20"/>
      <c r="BH84" s="20" t="s">
        <v>367</v>
      </c>
      <c r="BI84" s="20"/>
      <c r="BJ84" s="20">
        <v>250</v>
      </c>
      <c r="BK84" s="16">
        <f t="shared" si="76"/>
        <v>0</v>
      </c>
      <c r="BL84" s="16"/>
      <c r="BM84" s="16" t="s">
        <v>354</v>
      </c>
      <c r="BN84" s="16"/>
      <c r="BO84" s="16">
        <v>250</v>
      </c>
      <c r="BP84" s="16">
        <f t="shared" si="63"/>
        <v>0</v>
      </c>
      <c r="BQ84" s="16"/>
      <c r="BR84" s="16" t="s">
        <v>462</v>
      </c>
      <c r="BS84" s="16"/>
      <c r="BT84" s="16">
        <v>35000</v>
      </c>
      <c r="BU84" s="16">
        <f t="shared" si="64"/>
        <v>0</v>
      </c>
      <c r="BV84" s="16"/>
      <c r="BW84" s="16"/>
      <c r="BX84" s="16"/>
      <c r="BY84" s="16"/>
      <c r="BZ84" s="16">
        <f t="shared" si="65"/>
        <v>0</v>
      </c>
      <c r="CA84" s="16"/>
      <c r="CB84" s="16"/>
      <c r="CC84" s="16"/>
      <c r="CD84" s="16"/>
      <c r="CE84" s="16">
        <f t="shared" si="66"/>
        <v>0</v>
      </c>
      <c r="CF84" s="16"/>
      <c r="CG84" s="16" t="s">
        <v>126</v>
      </c>
      <c r="CH84" s="16"/>
      <c r="CI84" s="23">
        <v>10000</v>
      </c>
      <c r="CJ84" s="23">
        <f t="shared" si="67"/>
        <v>0</v>
      </c>
      <c r="CK84" s="20"/>
      <c r="CL84" s="20"/>
      <c r="CM84" s="20"/>
      <c r="CN84" s="20"/>
      <c r="CO84" s="23">
        <f t="shared" si="68"/>
        <v>0</v>
      </c>
      <c r="CP84" s="16"/>
      <c r="CQ84" s="16" t="s">
        <v>201</v>
      </c>
      <c r="CR84" s="16"/>
      <c r="CS84" s="16">
        <v>2500</v>
      </c>
      <c r="CT84" s="23">
        <f t="shared" si="69"/>
        <v>0</v>
      </c>
      <c r="CU84" s="20"/>
      <c r="CV84" s="20" t="s">
        <v>450</v>
      </c>
      <c r="CW84" s="20"/>
      <c r="CX84" s="20">
        <v>250</v>
      </c>
      <c r="CY84" s="23">
        <f t="shared" si="70"/>
        <v>0</v>
      </c>
      <c r="CZ84" s="20"/>
      <c r="DA84" s="20" t="s">
        <v>463</v>
      </c>
      <c r="DB84" s="20"/>
      <c r="DC84" s="20">
        <v>250</v>
      </c>
      <c r="DD84" s="23">
        <f t="shared" si="71"/>
        <v>0</v>
      </c>
      <c r="DE84" s="16"/>
      <c r="DF84" s="16" t="s">
        <v>65</v>
      </c>
      <c r="DG84" s="16"/>
      <c r="DH84" s="16">
        <v>950</v>
      </c>
      <c r="DI84" s="16">
        <f t="shared" si="72"/>
        <v>0</v>
      </c>
      <c r="DJ84" s="20"/>
      <c r="DK84" s="20" t="s">
        <v>83</v>
      </c>
      <c r="DL84" s="20"/>
      <c r="DM84" s="20">
        <v>450</v>
      </c>
      <c r="DN84" s="16">
        <f t="shared" si="73"/>
        <v>0</v>
      </c>
      <c r="DO84" s="20"/>
      <c r="DP84" s="20" t="s">
        <v>464</v>
      </c>
      <c r="DQ84" s="20"/>
      <c r="DR84" s="20">
        <v>250</v>
      </c>
      <c r="DS84" s="16">
        <f t="shared" si="74"/>
        <v>0</v>
      </c>
      <c r="DT84" s="20"/>
      <c r="DU84" s="20" t="s">
        <v>224</v>
      </c>
      <c r="DV84" s="20"/>
      <c r="DW84" s="20">
        <v>250</v>
      </c>
      <c r="DX84" s="24">
        <f t="shared" si="75"/>
        <v>0</v>
      </c>
    </row>
    <row r="85" spans="1:128" s="2" customFormat="1" x14ac:dyDescent="0.3">
      <c r="A85" s="20"/>
      <c r="B85" s="16" t="str">
        <f>CB68</f>
        <v>LOGISTIK</v>
      </c>
      <c r="C85" s="16">
        <f>CE97</f>
        <v>0</v>
      </c>
      <c r="D85" s="17"/>
      <c r="E85" s="49" t="s">
        <v>179</v>
      </c>
      <c r="F85" s="17"/>
      <c r="G85" s="17">
        <v>35000</v>
      </c>
      <c r="H85" s="16">
        <f t="shared" si="52"/>
        <v>0</v>
      </c>
      <c r="I85" s="19"/>
      <c r="J85" s="16" t="s">
        <v>147</v>
      </c>
      <c r="K85" s="27"/>
      <c r="L85" s="19">
        <v>250</v>
      </c>
      <c r="M85" s="16">
        <f t="shared" si="53"/>
        <v>0</v>
      </c>
      <c r="N85" s="17"/>
      <c r="O85" s="20" t="s">
        <v>357</v>
      </c>
      <c r="P85" s="21"/>
      <c r="Q85" s="19">
        <v>17000</v>
      </c>
      <c r="R85" s="16">
        <f t="shared" si="54"/>
        <v>0</v>
      </c>
      <c r="S85" s="20"/>
      <c r="T85" s="20" t="s">
        <v>413</v>
      </c>
      <c r="U85" s="20"/>
      <c r="V85" s="20">
        <v>250</v>
      </c>
      <c r="W85" s="16">
        <f t="shared" si="55"/>
        <v>0</v>
      </c>
      <c r="X85" s="16"/>
      <c r="Y85" s="16"/>
      <c r="Z85" s="16"/>
      <c r="AA85" s="16"/>
      <c r="AB85" s="16">
        <f t="shared" si="56"/>
        <v>0</v>
      </c>
      <c r="AC85" s="20"/>
      <c r="AD85" s="20" t="s">
        <v>219</v>
      </c>
      <c r="AE85" s="20"/>
      <c r="AF85" s="16">
        <v>4900</v>
      </c>
      <c r="AG85" s="16">
        <f t="shared" si="57"/>
        <v>0</v>
      </c>
      <c r="AH85" s="16"/>
      <c r="AI85" s="16" t="s">
        <v>38</v>
      </c>
      <c r="AJ85" s="22"/>
      <c r="AK85" s="19">
        <v>100</v>
      </c>
      <c r="AL85" s="16">
        <f t="shared" si="58"/>
        <v>0</v>
      </c>
      <c r="AM85" s="16"/>
      <c r="AN85" s="16" t="s">
        <v>198</v>
      </c>
      <c r="AO85" s="27"/>
      <c r="AP85" s="16">
        <v>22000</v>
      </c>
      <c r="AQ85" s="16">
        <f t="shared" si="77"/>
        <v>0</v>
      </c>
      <c r="AR85" s="16"/>
      <c r="AS85" s="16" t="s">
        <v>341</v>
      </c>
      <c r="AT85" s="16"/>
      <c r="AU85" s="16">
        <v>5000</v>
      </c>
      <c r="AV85" s="16">
        <f t="shared" si="60"/>
        <v>0</v>
      </c>
      <c r="AW85" s="16"/>
      <c r="AX85" s="16" t="s">
        <v>197</v>
      </c>
      <c r="AY85" s="16"/>
      <c r="AZ85" s="16">
        <v>15000</v>
      </c>
      <c r="BA85" s="16">
        <f t="shared" si="61"/>
        <v>0</v>
      </c>
      <c r="BB85" s="20"/>
      <c r="BC85" s="20" t="s">
        <v>465</v>
      </c>
      <c r="BD85" s="17"/>
      <c r="BE85" s="17">
        <v>5000</v>
      </c>
      <c r="BF85" s="16">
        <f t="shared" si="62"/>
        <v>0</v>
      </c>
      <c r="BG85" s="20"/>
      <c r="BH85" s="20" t="s">
        <v>69</v>
      </c>
      <c r="BI85" s="20"/>
      <c r="BJ85" s="20">
        <v>1000</v>
      </c>
      <c r="BK85" s="16">
        <f t="shared" si="76"/>
        <v>0</v>
      </c>
      <c r="BL85" s="16"/>
      <c r="BM85" s="16" t="s">
        <v>117</v>
      </c>
      <c r="BN85" s="16"/>
      <c r="BO85" s="16">
        <v>250</v>
      </c>
      <c r="BP85" s="16">
        <f t="shared" si="63"/>
        <v>0</v>
      </c>
      <c r="BQ85" s="16"/>
      <c r="BR85" s="16" t="s">
        <v>376</v>
      </c>
      <c r="BS85" s="16"/>
      <c r="BT85" s="16">
        <v>10000</v>
      </c>
      <c r="BU85" s="16">
        <f t="shared" si="64"/>
        <v>0</v>
      </c>
      <c r="BV85" s="16"/>
      <c r="BW85" s="16"/>
      <c r="BX85" s="16"/>
      <c r="BY85" s="16"/>
      <c r="BZ85" s="16">
        <f t="shared" si="65"/>
        <v>0</v>
      </c>
      <c r="CA85" s="16"/>
      <c r="CB85" s="16"/>
      <c r="CC85" s="16"/>
      <c r="CD85" s="16"/>
      <c r="CE85" s="16">
        <f t="shared" si="66"/>
        <v>0</v>
      </c>
      <c r="CF85" s="16"/>
      <c r="CG85" s="16" t="s">
        <v>361</v>
      </c>
      <c r="CH85" s="16"/>
      <c r="CI85" s="16">
        <v>10000</v>
      </c>
      <c r="CJ85" s="23">
        <f t="shared" si="67"/>
        <v>0</v>
      </c>
      <c r="CK85" s="20"/>
      <c r="CL85" s="20"/>
      <c r="CM85" s="20"/>
      <c r="CN85" s="20"/>
      <c r="CO85" s="23">
        <f t="shared" si="68"/>
        <v>0</v>
      </c>
      <c r="CP85" s="16"/>
      <c r="CQ85" s="16" t="s">
        <v>82</v>
      </c>
      <c r="CR85" s="16"/>
      <c r="CS85" s="16">
        <v>3000</v>
      </c>
      <c r="CT85" s="23">
        <f t="shared" si="69"/>
        <v>0</v>
      </c>
      <c r="CU85" s="20"/>
      <c r="CV85" s="20" t="s">
        <v>450</v>
      </c>
      <c r="CW85" s="20"/>
      <c r="CX85" s="20">
        <v>250</v>
      </c>
      <c r="CY85" s="23">
        <f t="shared" si="70"/>
        <v>0</v>
      </c>
      <c r="CZ85" s="20"/>
      <c r="DA85" s="20" t="s">
        <v>301</v>
      </c>
      <c r="DB85" s="20"/>
      <c r="DC85" s="20">
        <v>35000</v>
      </c>
      <c r="DD85" s="23">
        <f t="shared" si="71"/>
        <v>0</v>
      </c>
      <c r="DE85" s="16"/>
      <c r="DF85" s="16" t="s">
        <v>185</v>
      </c>
      <c r="DG85" s="16"/>
      <c r="DH85" s="16">
        <v>15000</v>
      </c>
      <c r="DI85" s="16">
        <f t="shared" si="72"/>
        <v>0</v>
      </c>
      <c r="DJ85" s="20"/>
      <c r="DK85" s="20" t="s">
        <v>90</v>
      </c>
      <c r="DL85" s="20"/>
      <c r="DM85" s="16">
        <v>7000</v>
      </c>
      <c r="DN85" s="16">
        <f t="shared" si="73"/>
        <v>0</v>
      </c>
      <c r="DO85" s="20"/>
      <c r="DP85" s="20" t="s">
        <v>147</v>
      </c>
      <c r="DQ85" s="20"/>
      <c r="DR85" s="20">
        <v>250</v>
      </c>
      <c r="DS85" s="16">
        <f t="shared" si="74"/>
        <v>0</v>
      </c>
      <c r="DT85" s="20"/>
      <c r="DU85" s="20" t="s">
        <v>466</v>
      </c>
      <c r="DV85" s="20"/>
      <c r="DW85" s="20">
        <v>250</v>
      </c>
      <c r="DX85" s="24">
        <f t="shared" si="75"/>
        <v>0</v>
      </c>
    </row>
    <row r="86" spans="1:128" s="2" customFormat="1" x14ac:dyDescent="0.3">
      <c r="A86" s="20"/>
      <c r="B86" s="16" t="str">
        <f>CG68</f>
        <v>ASURANSI</v>
      </c>
      <c r="C86" s="16">
        <f>CJ97</f>
        <v>0</v>
      </c>
      <c r="D86" s="17"/>
      <c r="E86" s="20" t="s">
        <v>143</v>
      </c>
      <c r="F86" s="17"/>
      <c r="G86" s="17">
        <v>15000</v>
      </c>
      <c r="H86" s="16">
        <f t="shared" si="52"/>
        <v>0</v>
      </c>
      <c r="I86" s="19"/>
      <c r="J86" s="16" t="s">
        <v>50</v>
      </c>
      <c r="K86" s="27"/>
      <c r="L86" s="19">
        <v>26500</v>
      </c>
      <c r="M86" s="16">
        <f t="shared" si="53"/>
        <v>0</v>
      </c>
      <c r="N86" s="17"/>
      <c r="O86" s="20" t="s">
        <v>208</v>
      </c>
      <c r="P86" s="21"/>
      <c r="Q86" s="19">
        <v>250</v>
      </c>
      <c r="R86" s="16">
        <f t="shared" si="54"/>
        <v>0</v>
      </c>
      <c r="S86" s="20"/>
      <c r="T86" s="20" t="s">
        <v>467</v>
      </c>
      <c r="U86" s="20"/>
      <c r="V86" s="16">
        <v>250</v>
      </c>
      <c r="W86" s="16">
        <f t="shared" si="55"/>
        <v>0</v>
      </c>
      <c r="X86" s="16"/>
      <c r="Y86" s="16"/>
      <c r="Z86" s="16"/>
      <c r="AA86" s="16"/>
      <c r="AB86" s="16">
        <f t="shared" si="56"/>
        <v>0</v>
      </c>
      <c r="AC86" s="20"/>
      <c r="AD86" s="20" t="s">
        <v>229</v>
      </c>
      <c r="AE86" s="20"/>
      <c r="AF86" s="20">
        <v>12500</v>
      </c>
      <c r="AG86" s="16">
        <f t="shared" si="57"/>
        <v>0</v>
      </c>
      <c r="AH86" s="16"/>
      <c r="AI86" s="16" t="s">
        <v>54</v>
      </c>
      <c r="AJ86" s="22"/>
      <c r="AK86" s="19">
        <v>450</v>
      </c>
      <c r="AL86" s="16">
        <f t="shared" si="58"/>
        <v>0</v>
      </c>
      <c r="AM86" s="16"/>
      <c r="AN86" s="20" t="s">
        <v>90</v>
      </c>
      <c r="AO86" s="20"/>
      <c r="AP86" s="20">
        <v>9000</v>
      </c>
      <c r="AQ86" s="16">
        <f t="shared" si="77"/>
        <v>0</v>
      </c>
      <c r="AR86" s="16"/>
      <c r="AS86" s="16" t="s">
        <v>179</v>
      </c>
      <c r="AT86" s="27"/>
      <c r="AU86" s="19">
        <v>35000</v>
      </c>
      <c r="AV86" s="16">
        <f t="shared" si="60"/>
        <v>0</v>
      </c>
      <c r="AW86" s="16"/>
      <c r="AX86" s="16" t="s">
        <v>164</v>
      </c>
      <c r="AY86" s="16"/>
      <c r="AZ86" s="16">
        <v>15000</v>
      </c>
      <c r="BA86" s="16">
        <f t="shared" si="61"/>
        <v>0</v>
      </c>
      <c r="BB86" s="20"/>
      <c r="BC86" s="20" t="s">
        <v>54</v>
      </c>
      <c r="BD86" s="17"/>
      <c r="BE86" s="17">
        <v>450</v>
      </c>
      <c r="BF86" s="16">
        <f t="shared" si="62"/>
        <v>0</v>
      </c>
      <c r="BG86" s="20"/>
      <c r="BH86" s="20" t="s">
        <v>53</v>
      </c>
      <c r="BI86" s="20"/>
      <c r="BJ86" s="20">
        <v>1000</v>
      </c>
      <c r="BK86" s="16">
        <f t="shared" si="76"/>
        <v>0</v>
      </c>
      <c r="BL86" s="16"/>
      <c r="BM86" s="16" t="s">
        <v>136</v>
      </c>
      <c r="BN86" s="16"/>
      <c r="BO86" s="16">
        <v>250</v>
      </c>
      <c r="BP86" s="16">
        <f t="shared" si="63"/>
        <v>0</v>
      </c>
      <c r="BQ86" s="16"/>
      <c r="BR86" s="20" t="s">
        <v>100</v>
      </c>
      <c r="BS86" s="20"/>
      <c r="BT86" s="20">
        <v>6500</v>
      </c>
      <c r="BU86" s="16">
        <f t="shared" si="64"/>
        <v>0</v>
      </c>
      <c r="BV86" s="16"/>
      <c r="BW86" s="16"/>
      <c r="BX86" s="16"/>
      <c r="BY86" s="16"/>
      <c r="BZ86" s="16">
        <f t="shared" si="65"/>
        <v>0</v>
      </c>
      <c r="CA86" s="16"/>
      <c r="CB86" s="16"/>
      <c r="CC86" s="16"/>
      <c r="CD86" s="16"/>
      <c r="CE86" s="16">
        <f t="shared" si="66"/>
        <v>0</v>
      </c>
      <c r="CF86" s="16"/>
      <c r="CG86" s="20" t="s">
        <v>90</v>
      </c>
      <c r="CH86" s="20"/>
      <c r="CI86" s="20">
        <v>9000</v>
      </c>
      <c r="CJ86" s="23">
        <f t="shared" si="67"/>
        <v>0</v>
      </c>
      <c r="CK86" s="20"/>
      <c r="CL86" s="20"/>
      <c r="CM86" s="20"/>
      <c r="CN86" s="20"/>
      <c r="CO86" s="23">
        <f t="shared" si="68"/>
        <v>0</v>
      </c>
      <c r="CP86" s="16"/>
      <c r="CQ86" s="20" t="s">
        <v>107</v>
      </c>
      <c r="CR86" s="20"/>
      <c r="CS86" s="20">
        <v>10000</v>
      </c>
      <c r="CT86" s="23">
        <f t="shared" si="69"/>
        <v>0</v>
      </c>
      <c r="CU86" s="20"/>
      <c r="CV86" s="20" t="s">
        <v>135</v>
      </c>
      <c r="CW86" s="20"/>
      <c r="CX86" s="20">
        <v>6500</v>
      </c>
      <c r="CY86" s="23">
        <f t="shared" si="70"/>
        <v>0</v>
      </c>
      <c r="CZ86" s="20"/>
      <c r="DA86" s="20" t="s">
        <v>406</v>
      </c>
      <c r="DB86" s="21"/>
      <c r="DC86" s="19">
        <v>3500</v>
      </c>
      <c r="DD86" s="23">
        <f t="shared" si="71"/>
        <v>0</v>
      </c>
      <c r="DE86" s="16"/>
      <c r="DF86" s="16" t="s">
        <v>135</v>
      </c>
      <c r="DG86" s="16"/>
      <c r="DH86" s="16">
        <v>6500</v>
      </c>
      <c r="DI86" s="16">
        <f t="shared" si="72"/>
        <v>0</v>
      </c>
      <c r="DJ86" s="20"/>
      <c r="DK86" s="20" t="s">
        <v>54</v>
      </c>
      <c r="DL86" s="20"/>
      <c r="DM86" s="20">
        <v>450</v>
      </c>
      <c r="DN86" s="16">
        <f t="shared" si="73"/>
        <v>0</v>
      </c>
      <c r="DO86" s="20"/>
      <c r="DP86" s="20" t="s">
        <v>54</v>
      </c>
      <c r="DQ86" s="20"/>
      <c r="DR86" s="20">
        <v>450</v>
      </c>
      <c r="DS86" s="16">
        <f t="shared" si="74"/>
        <v>0</v>
      </c>
      <c r="DT86" s="20"/>
      <c r="DU86" s="20" t="s">
        <v>62</v>
      </c>
      <c r="DV86" s="20"/>
      <c r="DW86" s="20">
        <v>7000</v>
      </c>
      <c r="DX86" s="24">
        <f t="shared" si="75"/>
        <v>0</v>
      </c>
    </row>
    <row r="87" spans="1:128" s="2" customFormat="1" x14ac:dyDescent="0.3">
      <c r="A87" s="20"/>
      <c r="B87" s="16" t="str">
        <f>CL68</f>
        <v>FISIOTERAPI</v>
      </c>
      <c r="C87" s="16">
        <f>CO97</f>
        <v>0</v>
      </c>
      <c r="D87" s="17"/>
      <c r="E87" s="20" t="s">
        <v>189</v>
      </c>
      <c r="F87" s="17"/>
      <c r="G87" s="17">
        <v>9000</v>
      </c>
      <c r="H87" s="16">
        <f t="shared" si="52"/>
        <v>0</v>
      </c>
      <c r="I87" s="19"/>
      <c r="J87" s="16" t="s">
        <v>468</v>
      </c>
      <c r="K87" s="27"/>
      <c r="L87" s="19">
        <v>4000</v>
      </c>
      <c r="M87" s="16">
        <f t="shared" si="53"/>
        <v>0</v>
      </c>
      <c r="N87" s="17"/>
      <c r="O87" s="20" t="s">
        <v>369</v>
      </c>
      <c r="P87" s="21"/>
      <c r="Q87" s="19">
        <v>250</v>
      </c>
      <c r="R87" s="16">
        <f t="shared" si="54"/>
        <v>0</v>
      </c>
      <c r="S87" s="20"/>
      <c r="T87" s="20" t="s">
        <v>469</v>
      </c>
      <c r="U87" s="20"/>
      <c r="V87" s="16">
        <v>250</v>
      </c>
      <c r="W87" s="16">
        <f t="shared" si="55"/>
        <v>0</v>
      </c>
      <c r="X87" s="16"/>
      <c r="Y87" s="16"/>
      <c r="Z87" s="16"/>
      <c r="AA87" s="16"/>
      <c r="AB87" s="16">
        <f t="shared" si="56"/>
        <v>0</v>
      </c>
      <c r="AC87" s="20"/>
      <c r="AD87" s="20" t="s">
        <v>236</v>
      </c>
      <c r="AE87" s="20"/>
      <c r="AF87" s="20">
        <v>25000</v>
      </c>
      <c r="AG87" s="16">
        <f t="shared" si="57"/>
        <v>0</v>
      </c>
      <c r="AH87" s="16"/>
      <c r="AI87" s="16" t="s">
        <v>348</v>
      </c>
      <c r="AJ87" s="22"/>
      <c r="AK87" s="19">
        <v>250</v>
      </c>
      <c r="AL87" s="16">
        <f t="shared" si="58"/>
        <v>0</v>
      </c>
      <c r="AM87" s="16"/>
      <c r="AN87" s="16" t="s">
        <v>330</v>
      </c>
      <c r="AO87" s="16"/>
      <c r="AP87" s="16">
        <v>85000</v>
      </c>
      <c r="AQ87" s="16">
        <f t="shared" si="77"/>
        <v>0</v>
      </c>
      <c r="AR87" s="16"/>
      <c r="AS87" s="16" t="s">
        <v>198</v>
      </c>
      <c r="AT87" s="16"/>
      <c r="AU87" s="16">
        <v>22000</v>
      </c>
      <c r="AV87" s="16">
        <f t="shared" si="60"/>
        <v>0</v>
      </c>
      <c r="AW87" s="16"/>
      <c r="AX87" s="16" t="s">
        <v>126</v>
      </c>
      <c r="AY87" s="16"/>
      <c r="AZ87" s="16">
        <v>10000</v>
      </c>
      <c r="BA87" s="16">
        <f t="shared" si="61"/>
        <v>0</v>
      </c>
      <c r="BB87" s="20"/>
      <c r="BC87" s="20" t="s">
        <v>70</v>
      </c>
      <c r="BD87" s="17"/>
      <c r="BE87" s="17">
        <v>350</v>
      </c>
      <c r="BF87" s="16">
        <f t="shared" si="62"/>
        <v>0</v>
      </c>
      <c r="BG87" s="20"/>
      <c r="BH87" s="20" t="s">
        <v>93</v>
      </c>
      <c r="BI87" s="20"/>
      <c r="BJ87" s="20">
        <v>250</v>
      </c>
      <c r="BK87" s="16">
        <f t="shared" si="76"/>
        <v>0</v>
      </c>
      <c r="BL87" s="16"/>
      <c r="BM87" s="16" t="s">
        <v>51</v>
      </c>
      <c r="BN87" s="16"/>
      <c r="BO87" s="16">
        <v>100</v>
      </c>
      <c r="BP87" s="16">
        <f t="shared" si="63"/>
        <v>0</v>
      </c>
      <c r="BQ87" s="16"/>
      <c r="BR87" s="16"/>
      <c r="BS87" s="16"/>
      <c r="BT87" s="16"/>
      <c r="BU87" s="16">
        <f t="shared" si="64"/>
        <v>0</v>
      </c>
      <c r="BV87" s="16"/>
      <c r="BW87" s="16"/>
      <c r="BX87" s="16"/>
      <c r="BY87" s="16"/>
      <c r="BZ87" s="16">
        <f t="shared" si="65"/>
        <v>0</v>
      </c>
      <c r="CA87" s="16"/>
      <c r="CB87" s="16"/>
      <c r="CC87" s="16"/>
      <c r="CD87" s="16"/>
      <c r="CE87" s="16">
        <f t="shared" si="66"/>
        <v>0</v>
      </c>
      <c r="CF87" s="16"/>
      <c r="CG87" s="16"/>
      <c r="CH87" s="16"/>
      <c r="CI87" s="23"/>
      <c r="CJ87" s="23">
        <f t="shared" si="67"/>
        <v>0</v>
      </c>
      <c r="CK87" s="20"/>
      <c r="CL87" s="20"/>
      <c r="CM87" s="20"/>
      <c r="CN87" s="20"/>
      <c r="CO87" s="23">
        <f t="shared" si="68"/>
        <v>0</v>
      </c>
      <c r="CP87" s="16"/>
      <c r="CQ87" s="16" t="s">
        <v>194</v>
      </c>
      <c r="CR87" s="16"/>
      <c r="CS87" s="16">
        <v>1000</v>
      </c>
      <c r="CT87" s="23">
        <f t="shared" si="69"/>
        <v>0</v>
      </c>
      <c r="CU87" s="20"/>
      <c r="CV87" s="20" t="s">
        <v>470</v>
      </c>
      <c r="CW87" s="20"/>
      <c r="CX87" s="20">
        <v>250</v>
      </c>
      <c r="CY87" s="23">
        <f t="shared" si="70"/>
        <v>0</v>
      </c>
      <c r="CZ87" s="20"/>
      <c r="DA87" s="20" t="s">
        <v>65</v>
      </c>
      <c r="DB87" s="20"/>
      <c r="DC87" s="20">
        <v>950</v>
      </c>
      <c r="DD87" s="23">
        <f t="shared" si="71"/>
        <v>0</v>
      </c>
      <c r="DE87" s="16"/>
      <c r="DF87" s="16" t="s">
        <v>247</v>
      </c>
      <c r="DG87" s="16"/>
      <c r="DH87" s="16">
        <v>2500</v>
      </c>
      <c r="DI87" s="16">
        <f t="shared" si="72"/>
        <v>0</v>
      </c>
      <c r="DJ87" s="20"/>
      <c r="DK87" s="20" t="s">
        <v>70</v>
      </c>
      <c r="DL87" s="20"/>
      <c r="DM87" s="20">
        <v>350</v>
      </c>
      <c r="DN87" s="16">
        <f t="shared" si="73"/>
        <v>0</v>
      </c>
      <c r="DO87" s="20"/>
      <c r="DP87" s="20" t="s">
        <v>70</v>
      </c>
      <c r="DQ87" s="20"/>
      <c r="DR87" s="20">
        <v>350</v>
      </c>
      <c r="DS87" s="16">
        <f t="shared" si="74"/>
        <v>0</v>
      </c>
      <c r="DT87" s="20"/>
      <c r="DU87" s="20" t="s">
        <v>471</v>
      </c>
      <c r="DV87" s="20"/>
      <c r="DW87" s="20">
        <v>350</v>
      </c>
      <c r="DX87" s="24">
        <f t="shared" si="75"/>
        <v>0</v>
      </c>
    </row>
    <row r="88" spans="1:128" s="2" customFormat="1" x14ac:dyDescent="0.3">
      <c r="A88" s="20"/>
      <c r="B88" s="16" t="str">
        <f>CQ68</f>
        <v>AULA</v>
      </c>
      <c r="C88" s="16">
        <f>CT97</f>
        <v>0</v>
      </c>
      <c r="D88" s="17"/>
      <c r="E88" s="20"/>
      <c r="F88" s="17"/>
      <c r="G88" s="17"/>
      <c r="H88" s="16">
        <f t="shared" si="52"/>
        <v>0</v>
      </c>
      <c r="I88" s="19"/>
      <c r="J88" s="16" t="s">
        <v>197</v>
      </c>
      <c r="K88" s="16"/>
      <c r="L88" s="16">
        <v>15000</v>
      </c>
      <c r="M88" s="16">
        <f t="shared" si="53"/>
        <v>0</v>
      </c>
      <c r="N88" s="17"/>
      <c r="O88" s="20" t="s">
        <v>65</v>
      </c>
      <c r="P88" s="21"/>
      <c r="Q88" s="19">
        <v>1550</v>
      </c>
      <c r="R88" s="16">
        <f t="shared" si="54"/>
        <v>0</v>
      </c>
      <c r="S88" s="20"/>
      <c r="T88" s="20" t="s">
        <v>472</v>
      </c>
      <c r="U88" s="20"/>
      <c r="V88" s="16">
        <v>250</v>
      </c>
      <c r="W88" s="16">
        <f t="shared" si="55"/>
        <v>0</v>
      </c>
      <c r="X88" s="16"/>
      <c r="Y88" s="16"/>
      <c r="Z88" s="16"/>
      <c r="AA88" s="16"/>
      <c r="AB88" s="16">
        <f t="shared" si="56"/>
        <v>0</v>
      </c>
      <c r="AC88" s="20"/>
      <c r="AD88" s="20" t="s">
        <v>50</v>
      </c>
      <c r="AE88" s="20"/>
      <c r="AF88" s="20">
        <v>26500</v>
      </c>
      <c r="AG88" s="16">
        <f t="shared" si="57"/>
        <v>0</v>
      </c>
      <c r="AH88" s="16"/>
      <c r="AI88" s="16" t="s">
        <v>225</v>
      </c>
      <c r="AJ88" s="22"/>
      <c r="AK88" s="19">
        <v>4000</v>
      </c>
      <c r="AL88" s="16">
        <f t="shared" si="58"/>
        <v>0</v>
      </c>
      <c r="AM88" s="16"/>
      <c r="AN88" s="16" t="s">
        <v>473</v>
      </c>
      <c r="AO88" s="16"/>
      <c r="AP88" s="16">
        <v>85000</v>
      </c>
      <c r="AQ88" s="16">
        <f t="shared" si="77"/>
        <v>0</v>
      </c>
      <c r="AR88" s="16"/>
      <c r="AS88" s="16" t="s">
        <v>90</v>
      </c>
      <c r="AT88" s="16"/>
      <c r="AU88" s="16">
        <v>7000</v>
      </c>
      <c r="AV88" s="16">
        <f t="shared" si="60"/>
        <v>0</v>
      </c>
      <c r="AW88" s="16"/>
      <c r="AX88" s="16" t="s">
        <v>474</v>
      </c>
      <c r="AY88" s="16"/>
      <c r="AZ88" s="16">
        <v>250</v>
      </c>
      <c r="BA88" s="16">
        <f t="shared" si="61"/>
        <v>0</v>
      </c>
      <c r="BB88" s="20"/>
      <c r="BC88" s="20" t="s">
        <v>475</v>
      </c>
      <c r="BD88" s="17"/>
      <c r="BE88" s="17">
        <v>250</v>
      </c>
      <c r="BF88" s="16">
        <f t="shared" si="62"/>
        <v>0</v>
      </c>
      <c r="BG88" s="20"/>
      <c r="BH88" s="20" t="s">
        <v>220</v>
      </c>
      <c r="BI88" s="20"/>
      <c r="BJ88" s="20">
        <v>5000</v>
      </c>
      <c r="BK88" s="16">
        <f t="shared" si="76"/>
        <v>0</v>
      </c>
      <c r="BL88" s="16"/>
      <c r="BM88" s="20" t="s">
        <v>220</v>
      </c>
      <c r="BN88" s="20"/>
      <c r="BO88" s="20">
        <v>5000</v>
      </c>
      <c r="BP88" s="16">
        <f t="shared" si="63"/>
        <v>0</v>
      </c>
      <c r="BQ88" s="16"/>
      <c r="BR88" s="16"/>
      <c r="BS88" s="16"/>
      <c r="BT88" s="16"/>
      <c r="BU88" s="16">
        <f t="shared" si="64"/>
        <v>0</v>
      </c>
      <c r="BV88" s="16"/>
      <c r="BW88" s="16"/>
      <c r="BX88" s="16"/>
      <c r="BY88" s="16"/>
      <c r="BZ88" s="16">
        <f t="shared" si="65"/>
        <v>0</v>
      </c>
      <c r="CA88" s="16"/>
      <c r="CB88" s="16"/>
      <c r="CC88" s="16"/>
      <c r="CD88" s="16"/>
      <c r="CE88" s="16">
        <f t="shared" si="66"/>
        <v>0</v>
      </c>
      <c r="CF88" s="16"/>
      <c r="CG88" s="16"/>
      <c r="CH88" s="16"/>
      <c r="CI88" s="23"/>
      <c r="CJ88" s="23">
        <f t="shared" si="67"/>
        <v>0</v>
      </c>
      <c r="CK88" s="20"/>
      <c r="CL88" s="20"/>
      <c r="CM88" s="20"/>
      <c r="CN88" s="20"/>
      <c r="CO88" s="23">
        <f t="shared" si="68"/>
        <v>0</v>
      </c>
      <c r="CP88" s="16"/>
      <c r="CQ88" s="16" t="s">
        <v>195</v>
      </c>
      <c r="CR88" s="16"/>
      <c r="CS88" s="16">
        <v>500</v>
      </c>
      <c r="CT88" s="23">
        <f t="shared" si="69"/>
        <v>0</v>
      </c>
      <c r="CU88" s="20"/>
      <c r="CV88" s="20" t="s">
        <v>476</v>
      </c>
      <c r="CW88" s="20"/>
      <c r="CX88" s="20">
        <v>4000</v>
      </c>
      <c r="CY88" s="23">
        <f t="shared" si="70"/>
        <v>0</v>
      </c>
      <c r="CZ88" s="20"/>
      <c r="DA88" s="20" t="s">
        <v>54</v>
      </c>
      <c r="DB88" s="20"/>
      <c r="DC88" s="20">
        <v>450</v>
      </c>
      <c r="DD88" s="23">
        <f t="shared" si="71"/>
        <v>0</v>
      </c>
      <c r="DE88" s="16"/>
      <c r="DF88" s="16" t="s">
        <v>267</v>
      </c>
      <c r="DG88" s="16"/>
      <c r="DH88" s="16">
        <v>15000</v>
      </c>
      <c r="DI88" s="16">
        <f t="shared" si="72"/>
        <v>0</v>
      </c>
      <c r="DJ88" s="20"/>
      <c r="DK88" s="20" t="s">
        <v>65</v>
      </c>
      <c r="DL88" s="20"/>
      <c r="DM88" s="20">
        <v>1550</v>
      </c>
      <c r="DN88" s="16">
        <f t="shared" si="73"/>
        <v>0</v>
      </c>
      <c r="DO88" s="20"/>
      <c r="DP88" s="20" t="s">
        <v>477</v>
      </c>
      <c r="DQ88" s="20"/>
      <c r="DR88" s="20">
        <v>35000</v>
      </c>
      <c r="DS88" s="16">
        <f t="shared" si="74"/>
        <v>0</v>
      </c>
      <c r="DT88" s="20"/>
      <c r="DU88" s="20" t="s">
        <v>51</v>
      </c>
      <c r="DV88" s="20"/>
      <c r="DW88" s="20">
        <v>100</v>
      </c>
      <c r="DX88" s="24">
        <f t="shared" si="75"/>
        <v>0</v>
      </c>
    </row>
    <row r="89" spans="1:128" s="2" customFormat="1" x14ac:dyDescent="0.3">
      <c r="A89" s="20"/>
      <c r="B89" s="16" t="str">
        <f>CV68</f>
        <v>PERINA PICU NICU</v>
      </c>
      <c r="C89" s="16">
        <f>CY97</f>
        <v>0</v>
      </c>
      <c r="D89" s="17"/>
      <c r="E89" s="20"/>
      <c r="F89" s="17"/>
      <c r="G89" s="17"/>
      <c r="H89" s="16">
        <f t="shared" si="52"/>
        <v>0</v>
      </c>
      <c r="I89" s="19"/>
      <c r="J89" s="16" t="s">
        <v>164</v>
      </c>
      <c r="K89" s="16"/>
      <c r="L89" s="16">
        <v>15000</v>
      </c>
      <c r="M89" s="16">
        <f t="shared" si="53"/>
        <v>0</v>
      </c>
      <c r="N89" s="17"/>
      <c r="O89" s="20" t="s">
        <v>378</v>
      </c>
      <c r="P89" s="21"/>
      <c r="Q89" s="19">
        <v>250</v>
      </c>
      <c r="R89" s="16">
        <f t="shared" si="54"/>
        <v>0</v>
      </c>
      <c r="S89" s="20"/>
      <c r="T89" s="20" t="s">
        <v>69</v>
      </c>
      <c r="U89" s="20"/>
      <c r="V89" s="16">
        <v>1000</v>
      </c>
      <c r="W89" s="16">
        <f t="shared" si="55"/>
        <v>0</v>
      </c>
      <c r="X89" s="16"/>
      <c r="Y89" s="16"/>
      <c r="Z89" s="16"/>
      <c r="AA89" s="16"/>
      <c r="AB89" s="16">
        <f t="shared" si="56"/>
        <v>0</v>
      </c>
      <c r="AC89" s="20"/>
      <c r="AD89" s="20" t="s">
        <v>274</v>
      </c>
      <c r="AE89" s="20"/>
      <c r="AF89" s="24">
        <v>65000</v>
      </c>
      <c r="AG89" s="16">
        <f t="shared" si="57"/>
        <v>0</v>
      </c>
      <c r="AH89" s="16"/>
      <c r="AI89" s="16" t="s">
        <v>473</v>
      </c>
      <c r="AJ89" s="16"/>
      <c r="AK89" s="16">
        <v>85000</v>
      </c>
      <c r="AL89" s="16">
        <f t="shared" si="58"/>
        <v>0</v>
      </c>
      <c r="AM89" s="16"/>
      <c r="AN89" s="16" t="s">
        <v>478</v>
      </c>
      <c r="AO89" s="16"/>
      <c r="AP89" s="16">
        <v>85000</v>
      </c>
      <c r="AQ89" s="16">
        <f t="shared" si="77"/>
        <v>0</v>
      </c>
      <c r="AR89" s="16"/>
      <c r="AS89" s="16" t="s">
        <v>479</v>
      </c>
      <c r="AT89" s="16"/>
      <c r="AU89" s="16">
        <v>17000</v>
      </c>
      <c r="AV89" s="16">
        <f t="shared" si="60"/>
        <v>0</v>
      </c>
      <c r="AW89" s="16"/>
      <c r="AX89" s="16" t="s">
        <v>480</v>
      </c>
      <c r="AY89" s="16"/>
      <c r="AZ89" s="16">
        <v>250</v>
      </c>
      <c r="BA89" s="16">
        <f t="shared" si="61"/>
        <v>0</v>
      </c>
      <c r="BB89" s="20"/>
      <c r="BC89" s="20" t="s">
        <v>481</v>
      </c>
      <c r="BD89" s="17"/>
      <c r="BE89" s="17">
        <v>250</v>
      </c>
      <c r="BF89" s="16">
        <f t="shared" si="62"/>
        <v>0</v>
      </c>
      <c r="BG89" s="20"/>
      <c r="BH89" s="20" t="s">
        <v>131</v>
      </c>
      <c r="BI89" s="20"/>
      <c r="BJ89" s="20">
        <v>250</v>
      </c>
      <c r="BK89" s="16">
        <f t="shared" si="76"/>
        <v>0</v>
      </c>
      <c r="BL89" s="16"/>
      <c r="BM89" s="20" t="s">
        <v>131</v>
      </c>
      <c r="BN89" s="20"/>
      <c r="BO89" s="20">
        <v>250</v>
      </c>
      <c r="BP89" s="16">
        <f t="shared" si="63"/>
        <v>0</v>
      </c>
      <c r="BQ89" s="16"/>
      <c r="BR89" s="16"/>
      <c r="BS89" s="16"/>
      <c r="BT89" s="16"/>
      <c r="BU89" s="16">
        <f t="shared" si="64"/>
        <v>0</v>
      </c>
      <c r="BV89" s="16"/>
      <c r="BW89" s="16"/>
      <c r="BX89" s="16"/>
      <c r="BY89" s="16"/>
      <c r="BZ89" s="16">
        <f t="shared" si="65"/>
        <v>0</v>
      </c>
      <c r="CA89" s="16"/>
      <c r="CB89" s="16"/>
      <c r="CC89" s="16"/>
      <c r="CD89" s="16"/>
      <c r="CE89" s="16">
        <f t="shared" si="66"/>
        <v>0</v>
      </c>
      <c r="CF89" s="16"/>
      <c r="CG89" s="16"/>
      <c r="CH89" s="16"/>
      <c r="CI89" s="23"/>
      <c r="CJ89" s="23">
        <f t="shared" si="67"/>
        <v>0</v>
      </c>
      <c r="CK89" s="20"/>
      <c r="CL89" s="20"/>
      <c r="CM89" s="20"/>
      <c r="CN89" s="20"/>
      <c r="CO89" s="23">
        <f t="shared" si="68"/>
        <v>0</v>
      </c>
      <c r="CP89" s="16"/>
      <c r="CQ89" s="16" t="s">
        <v>243</v>
      </c>
      <c r="CR89" s="16"/>
      <c r="CS89" s="16">
        <v>500</v>
      </c>
      <c r="CT89" s="23">
        <f t="shared" si="69"/>
        <v>0</v>
      </c>
      <c r="CU89" s="20"/>
      <c r="CV89" s="20" t="s">
        <v>68</v>
      </c>
      <c r="CW89" s="20"/>
      <c r="CX89" s="20">
        <v>9000</v>
      </c>
      <c r="CY89" s="23">
        <f t="shared" si="70"/>
        <v>0</v>
      </c>
      <c r="CZ89" s="20"/>
      <c r="DA89" s="20" t="s">
        <v>70</v>
      </c>
      <c r="DB89" s="20"/>
      <c r="DC89" s="20">
        <v>350</v>
      </c>
      <c r="DD89" s="23">
        <f t="shared" si="71"/>
        <v>0</v>
      </c>
      <c r="DE89" s="16"/>
      <c r="DF89" s="16" t="s">
        <v>482</v>
      </c>
      <c r="DG89" s="16"/>
      <c r="DH89" s="16">
        <v>10000</v>
      </c>
      <c r="DI89" s="16">
        <f t="shared" si="72"/>
        <v>0</v>
      </c>
      <c r="DJ89" s="20"/>
      <c r="DK89" s="20" t="s">
        <v>152</v>
      </c>
      <c r="DL89" s="20"/>
      <c r="DM89" s="20">
        <v>3500</v>
      </c>
      <c r="DN89" s="16">
        <f t="shared" si="73"/>
        <v>0</v>
      </c>
      <c r="DO89" s="20"/>
      <c r="DP89" s="16" t="s">
        <v>105</v>
      </c>
      <c r="DQ89" s="27"/>
      <c r="DR89" s="19">
        <v>700</v>
      </c>
      <c r="DS89" s="16">
        <f t="shared" si="74"/>
        <v>0</v>
      </c>
      <c r="DT89" s="20"/>
      <c r="DU89" s="20" t="s">
        <v>483</v>
      </c>
      <c r="DV89" s="20"/>
      <c r="DW89" s="20">
        <v>250</v>
      </c>
      <c r="DX89" s="24">
        <f t="shared" si="75"/>
        <v>0</v>
      </c>
    </row>
    <row r="90" spans="1:128" s="2" customFormat="1" x14ac:dyDescent="0.3">
      <c r="A90" s="20"/>
      <c r="B90" s="16" t="str">
        <f>DA68</f>
        <v>ICU</v>
      </c>
      <c r="C90" s="16">
        <f>DD97</f>
        <v>0</v>
      </c>
      <c r="D90" s="17"/>
      <c r="E90" s="20"/>
      <c r="F90" s="17"/>
      <c r="G90" s="17"/>
      <c r="H90" s="16">
        <f t="shared" si="52"/>
        <v>0</v>
      </c>
      <c r="I90" s="19"/>
      <c r="J90" s="16" t="s">
        <v>189</v>
      </c>
      <c r="K90" s="27"/>
      <c r="L90" s="19">
        <v>17000</v>
      </c>
      <c r="M90" s="16">
        <f t="shared" si="53"/>
        <v>0</v>
      </c>
      <c r="N90" s="17"/>
      <c r="O90" s="20" t="s">
        <v>385</v>
      </c>
      <c r="P90" s="21"/>
      <c r="Q90" s="19">
        <v>5000</v>
      </c>
      <c r="R90" s="16">
        <f t="shared" si="54"/>
        <v>0</v>
      </c>
      <c r="S90" s="20"/>
      <c r="T90" s="20" t="s">
        <v>484</v>
      </c>
      <c r="U90" s="20"/>
      <c r="V90" s="16">
        <v>250</v>
      </c>
      <c r="W90" s="16">
        <f t="shared" si="55"/>
        <v>0</v>
      </c>
      <c r="X90" s="16"/>
      <c r="Y90" s="16"/>
      <c r="Z90" s="16"/>
      <c r="AA90" s="16"/>
      <c r="AB90" s="16">
        <f t="shared" si="56"/>
        <v>0</v>
      </c>
      <c r="AC90" s="20"/>
      <c r="AD90" s="20" t="s">
        <v>244</v>
      </c>
      <c r="AE90" s="20"/>
      <c r="AF90" s="20">
        <v>3500</v>
      </c>
      <c r="AG90" s="16">
        <f t="shared" si="57"/>
        <v>0</v>
      </c>
      <c r="AH90" s="16"/>
      <c r="AI90" s="16" t="s">
        <v>478</v>
      </c>
      <c r="AJ90" s="16"/>
      <c r="AK90" s="16">
        <v>85000</v>
      </c>
      <c r="AL90" s="16">
        <f t="shared" si="58"/>
        <v>0</v>
      </c>
      <c r="AM90" s="16"/>
      <c r="AN90" s="16" t="s">
        <v>485</v>
      </c>
      <c r="AO90" s="16"/>
      <c r="AP90" s="16">
        <v>85000</v>
      </c>
      <c r="AQ90" s="16">
        <f t="shared" si="77"/>
        <v>0</v>
      </c>
      <c r="AR90" s="16"/>
      <c r="AS90" s="16" t="s">
        <v>198</v>
      </c>
      <c r="AT90" s="27"/>
      <c r="AU90" s="16">
        <v>22000</v>
      </c>
      <c r="AV90" s="16">
        <f t="shared" si="60"/>
        <v>0</v>
      </c>
      <c r="AW90" s="16"/>
      <c r="AX90" s="20" t="s">
        <v>198</v>
      </c>
      <c r="AY90" s="17"/>
      <c r="AZ90" s="17">
        <v>22000</v>
      </c>
      <c r="BA90" s="16">
        <f t="shared" si="61"/>
        <v>0</v>
      </c>
      <c r="BB90" s="20"/>
      <c r="BC90" s="20" t="s">
        <v>486</v>
      </c>
      <c r="BD90" s="17"/>
      <c r="BE90" s="17">
        <v>4400</v>
      </c>
      <c r="BF90" s="16">
        <f t="shared" si="62"/>
        <v>0</v>
      </c>
      <c r="BG90" s="20"/>
      <c r="BH90" s="20" t="s">
        <v>487</v>
      </c>
      <c r="BI90" s="20"/>
      <c r="BJ90" s="20">
        <v>250</v>
      </c>
      <c r="BK90" s="16">
        <f t="shared" si="76"/>
        <v>0</v>
      </c>
      <c r="BL90" s="16"/>
      <c r="BM90" s="20" t="s">
        <v>487</v>
      </c>
      <c r="BN90" s="20"/>
      <c r="BO90" s="20">
        <v>250</v>
      </c>
      <c r="BP90" s="16">
        <f t="shared" si="63"/>
        <v>0</v>
      </c>
      <c r="BQ90" s="16"/>
      <c r="BR90" s="16"/>
      <c r="BS90" s="16"/>
      <c r="BT90" s="16"/>
      <c r="BU90" s="16">
        <f t="shared" si="64"/>
        <v>0</v>
      </c>
      <c r="BV90" s="16"/>
      <c r="BW90" s="16"/>
      <c r="BX90" s="16"/>
      <c r="BY90" s="16"/>
      <c r="BZ90" s="16">
        <f t="shared" si="65"/>
        <v>0</v>
      </c>
      <c r="CA90" s="16"/>
      <c r="CB90" s="16"/>
      <c r="CC90" s="16"/>
      <c r="CD90" s="16"/>
      <c r="CE90" s="16">
        <f t="shared" si="66"/>
        <v>0</v>
      </c>
      <c r="CF90" s="16"/>
      <c r="CG90" s="16"/>
      <c r="CH90" s="16"/>
      <c r="CI90" s="23"/>
      <c r="CJ90" s="23">
        <f t="shared" si="67"/>
        <v>0</v>
      </c>
      <c r="CK90" s="20"/>
      <c r="CL90" s="20"/>
      <c r="CM90" s="20"/>
      <c r="CN90" s="20"/>
      <c r="CO90" s="23">
        <f t="shared" si="68"/>
        <v>0</v>
      </c>
      <c r="CP90" s="16"/>
      <c r="CQ90" s="16" t="s">
        <v>488</v>
      </c>
      <c r="CR90" s="16"/>
      <c r="CS90" s="16">
        <v>2500</v>
      </c>
      <c r="CT90" s="23">
        <f t="shared" si="69"/>
        <v>0</v>
      </c>
      <c r="CU90" s="20"/>
      <c r="CV90" s="16" t="s">
        <v>361</v>
      </c>
      <c r="CW90" s="16"/>
      <c r="CX90" s="23">
        <v>10000</v>
      </c>
      <c r="CY90" s="23">
        <f t="shared" si="70"/>
        <v>0</v>
      </c>
      <c r="CZ90" s="20"/>
      <c r="DA90" s="20" t="s">
        <v>51</v>
      </c>
      <c r="DB90" s="20"/>
      <c r="DC90" s="20">
        <v>100</v>
      </c>
      <c r="DD90" s="23">
        <f t="shared" si="71"/>
        <v>0</v>
      </c>
      <c r="DE90" s="16"/>
      <c r="DF90" s="16" t="s">
        <v>64</v>
      </c>
      <c r="DG90" s="16"/>
      <c r="DH90" s="16">
        <v>5000</v>
      </c>
      <c r="DI90" s="16">
        <f t="shared" si="72"/>
        <v>0</v>
      </c>
      <c r="DJ90" s="20"/>
      <c r="DK90" s="16" t="s">
        <v>225</v>
      </c>
      <c r="DL90" s="22"/>
      <c r="DM90" s="19">
        <v>4000</v>
      </c>
      <c r="DN90" s="16">
        <f t="shared" si="73"/>
        <v>0</v>
      </c>
      <c r="DO90" s="20"/>
      <c r="DP90" s="16" t="s">
        <v>144</v>
      </c>
      <c r="DQ90" s="27"/>
      <c r="DR90" s="19">
        <v>700</v>
      </c>
      <c r="DS90" s="16">
        <f t="shared" si="74"/>
        <v>0</v>
      </c>
      <c r="DT90" s="20"/>
      <c r="DU90" s="20" t="s">
        <v>489</v>
      </c>
      <c r="DV90" s="20"/>
      <c r="DW90" s="20">
        <v>15000</v>
      </c>
      <c r="DX90" s="24">
        <f t="shared" si="75"/>
        <v>0</v>
      </c>
    </row>
    <row r="91" spans="1:128" s="2" customFormat="1" x14ac:dyDescent="0.3">
      <c r="A91" s="20"/>
      <c r="B91" s="16" t="str">
        <f>DF68</f>
        <v>GIZI</v>
      </c>
      <c r="C91" s="16">
        <f>DI97</f>
        <v>0</v>
      </c>
      <c r="D91" s="17"/>
      <c r="E91" s="20"/>
      <c r="F91" s="17"/>
      <c r="G91" s="17"/>
      <c r="H91" s="16">
        <f t="shared" si="52"/>
        <v>0</v>
      </c>
      <c r="I91" s="19"/>
      <c r="J91" s="16" t="s">
        <v>403</v>
      </c>
      <c r="K91" s="27"/>
      <c r="L91" s="19">
        <v>20000</v>
      </c>
      <c r="M91" s="16">
        <f t="shared" si="53"/>
        <v>0</v>
      </c>
      <c r="N91" s="17"/>
      <c r="O91" s="50" t="s">
        <v>217</v>
      </c>
      <c r="P91" s="21"/>
      <c r="Q91" s="19">
        <v>85000</v>
      </c>
      <c r="R91" s="16">
        <f t="shared" si="54"/>
        <v>0</v>
      </c>
      <c r="S91" s="20"/>
      <c r="T91" s="20" t="s">
        <v>334</v>
      </c>
      <c r="U91" s="20"/>
      <c r="V91" s="16">
        <v>250</v>
      </c>
      <c r="W91" s="16">
        <f t="shared" si="55"/>
        <v>0</v>
      </c>
      <c r="X91" s="16"/>
      <c r="Y91" s="16"/>
      <c r="Z91" s="16"/>
      <c r="AA91" s="16"/>
      <c r="AB91" s="16">
        <f t="shared" si="56"/>
        <v>0</v>
      </c>
      <c r="AC91" s="20"/>
      <c r="AD91" s="20" t="s">
        <v>376</v>
      </c>
      <c r="AE91" s="20"/>
      <c r="AF91" s="20">
        <v>10000</v>
      </c>
      <c r="AG91" s="16">
        <f t="shared" si="57"/>
        <v>0</v>
      </c>
      <c r="AH91" s="16"/>
      <c r="AI91" s="16" t="s">
        <v>330</v>
      </c>
      <c r="AJ91" s="16"/>
      <c r="AK91" s="16">
        <v>85000</v>
      </c>
      <c r="AL91" s="16">
        <f t="shared" si="58"/>
        <v>0</v>
      </c>
      <c r="AM91" s="16"/>
      <c r="AN91" s="16"/>
      <c r="AO91" s="16"/>
      <c r="AP91" s="16"/>
      <c r="AQ91" s="16">
        <f t="shared" si="77"/>
        <v>0</v>
      </c>
      <c r="AR91" s="16"/>
      <c r="AS91" s="16" t="s">
        <v>90</v>
      </c>
      <c r="AT91" s="16"/>
      <c r="AU91" s="16">
        <v>7000</v>
      </c>
      <c r="AV91" s="16">
        <f t="shared" si="60"/>
        <v>0</v>
      </c>
      <c r="AW91" s="16"/>
      <c r="AX91" s="16" t="s">
        <v>361</v>
      </c>
      <c r="AY91" s="16"/>
      <c r="AZ91" s="16">
        <v>10000</v>
      </c>
      <c r="BA91" s="16">
        <f t="shared" si="61"/>
        <v>0</v>
      </c>
      <c r="BB91" s="20"/>
      <c r="BC91" s="20" t="s">
        <v>490</v>
      </c>
      <c r="BD91" s="17"/>
      <c r="BE91" s="17">
        <v>350</v>
      </c>
      <c r="BF91" s="16">
        <f t="shared" si="62"/>
        <v>0</v>
      </c>
      <c r="BG91" s="20"/>
      <c r="BH91" s="20" t="s">
        <v>334</v>
      </c>
      <c r="BI91" s="20"/>
      <c r="BJ91" s="20">
        <v>250</v>
      </c>
      <c r="BK91" s="16">
        <f t="shared" si="76"/>
        <v>0</v>
      </c>
      <c r="BL91" s="16"/>
      <c r="BM91" s="20" t="s">
        <v>334</v>
      </c>
      <c r="BN91" s="20"/>
      <c r="BO91" s="20">
        <v>250</v>
      </c>
      <c r="BP91" s="16">
        <f t="shared" si="63"/>
        <v>0</v>
      </c>
      <c r="BQ91" s="16"/>
      <c r="BR91" s="16"/>
      <c r="BS91" s="16"/>
      <c r="BT91" s="16"/>
      <c r="BU91" s="16">
        <f t="shared" si="64"/>
        <v>0</v>
      </c>
      <c r="BV91" s="16"/>
      <c r="BW91" s="16"/>
      <c r="BX91" s="16"/>
      <c r="BY91" s="16"/>
      <c r="BZ91" s="16">
        <f t="shared" si="65"/>
        <v>0</v>
      </c>
      <c r="CA91" s="16"/>
      <c r="CB91" s="16"/>
      <c r="CC91" s="16"/>
      <c r="CD91" s="16"/>
      <c r="CE91" s="16">
        <f t="shared" si="66"/>
        <v>0</v>
      </c>
      <c r="CF91" s="16"/>
      <c r="CG91" s="16"/>
      <c r="CH91" s="16"/>
      <c r="CI91" s="23"/>
      <c r="CJ91" s="23">
        <f t="shared" si="67"/>
        <v>0</v>
      </c>
      <c r="CK91" s="20"/>
      <c r="CL91" s="20"/>
      <c r="CM91" s="20"/>
      <c r="CN91" s="20"/>
      <c r="CO91" s="23">
        <f t="shared" si="68"/>
        <v>0</v>
      </c>
      <c r="CP91" s="16"/>
      <c r="CQ91" s="16" t="s">
        <v>152</v>
      </c>
      <c r="CR91" s="16"/>
      <c r="CS91" s="16">
        <v>3000</v>
      </c>
      <c r="CT91" s="23">
        <f t="shared" si="69"/>
        <v>0</v>
      </c>
      <c r="CU91" s="20"/>
      <c r="CV91" s="20" t="s">
        <v>491</v>
      </c>
      <c r="CW91" s="20"/>
      <c r="CX91" s="20">
        <v>250</v>
      </c>
      <c r="CY91" s="23">
        <f t="shared" si="70"/>
        <v>0</v>
      </c>
      <c r="CZ91" s="20"/>
      <c r="DA91" s="20" t="s">
        <v>272</v>
      </c>
      <c r="DB91" s="20"/>
      <c r="DC91" s="20">
        <v>250</v>
      </c>
      <c r="DD91" s="23">
        <f t="shared" si="71"/>
        <v>0</v>
      </c>
      <c r="DE91" s="16"/>
      <c r="DF91" s="20" t="s">
        <v>100</v>
      </c>
      <c r="DG91" s="20"/>
      <c r="DH91" s="20">
        <v>6500</v>
      </c>
      <c r="DI91" s="16">
        <f t="shared" si="72"/>
        <v>0</v>
      </c>
      <c r="DJ91" s="20"/>
      <c r="DK91" s="16" t="s">
        <v>164</v>
      </c>
      <c r="DL91" s="22"/>
      <c r="DM91" s="19">
        <v>15000</v>
      </c>
      <c r="DN91" s="16">
        <f t="shared" si="73"/>
        <v>0</v>
      </c>
      <c r="DO91" s="20"/>
      <c r="DP91" s="20" t="s">
        <v>69</v>
      </c>
      <c r="DQ91" s="20"/>
      <c r="DR91" s="20">
        <v>1000</v>
      </c>
      <c r="DS91" s="16">
        <f t="shared" si="74"/>
        <v>0</v>
      </c>
      <c r="DT91" s="20"/>
      <c r="DU91" s="20" t="s">
        <v>241</v>
      </c>
      <c r="DV91" s="20"/>
      <c r="DW91" s="20">
        <v>250</v>
      </c>
      <c r="DX91" s="24">
        <f t="shared" si="75"/>
        <v>0</v>
      </c>
    </row>
    <row r="92" spans="1:128" s="2" customFormat="1" x14ac:dyDescent="0.3">
      <c r="A92" s="20"/>
      <c r="B92" s="16" t="str">
        <f>DK68</f>
        <v>MADINAH 3</v>
      </c>
      <c r="C92" s="16">
        <f>DN97</f>
        <v>0</v>
      </c>
      <c r="D92" s="17"/>
      <c r="E92" s="20"/>
      <c r="F92" s="17"/>
      <c r="G92" s="17"/>
      <c r="H92" s="16">
        <f t="shared" si="52"/>
        <v>0</v>
      </c>
      <c r="I92" s="19"/>
      <c r="J92" s="16" t="s">
        <v>233</v>
      </c>
      <c r="K92" s="27"/>
      <c r="L92" s="19">
        <v>250</v>
      </c>
      <c r="M92" s="16">
        <f t="shared" si="53"/>
        <v>0</v>
      </c>
      <c r="N92" s="17"/>
      <c r="O92" s="20" t="s">
        <v>399</v>
      </c>
      <c r="P92" s="20"/>
      <c r="Q92" s="20">
        <v>250</v>
      </c>
      <c r="R92" s="16">
        <f t="shared" si="54"/>
        <v>0</v>
      </c>
      <c r="S92" s="20"/>
      <c r="T92" s="20" t="s">
        <v>84</v>
      </c>
      <c r="U92" s="20"/>
      <c r="V92" s="20">
        <v>100</v>
      </c>
      <c r="W92" s="16">
        <f t="shared" si="55"/>
        <v>0</v>
      </c>
      <c r="X92" s="16"/>
      <c r="Y92" s="16"/>
      <c r="Z92" s="16"/>
      <c r="AA92" s="16"/>
      <c r="AB92" s="16">
        <f t="shared" si="56"/>
        <v>0</v>
      </c>
      <c r="AC92" s="20"/>
      <c r="AD92" s="20" t="s">
        <v>314</v>
      </c>
      <c r="AE92" s="20"/>
      <c r="AF92" s="20">
        <v>17000</v>
      </c>
      <c r="AG92" s="16">
        <f t="shared" si="57"/>
        <v>0</v>
      </c>
      <c r="AH92" s="16"/>
      <c r="AI92" s="16" t="s">
        <v>254</v>
      </c>
      <c r="AJ92" s="22"/>
      <c r="AK92" s="19">
        <v>5000</v>
      </c>
      <c r="AL92" s="16">
        <f t="shared" si="58"/>
        <v>0</v>
      </c>
      <c r="AM92" s="16"/>
      <c r="AN92" s="16"/>
      <c r="AO92" s="16"/>
      <c r="AP92" s="16"/>
      <c r="AQ92" s="16">
        <f t="shared" si="77"/>
        <v>0</v>
      </c>
      <c r="AR92" s="16"/>
      <c r="AS92" s="16" t="s">
        <v>376</v>
      </c>
      <c r="AT92" s="16"/>
      <c r="AU92" s="16">
        <v>10000</v>
      </c>
      <c r="AV92" s="16">
        <f t="shared" si="60"/>
        <v>0</v>
      </c>
      <c r="AW92" s="16"/>
      <c r="AX92" s="16" t="s">
        <v>164</v>
      </c>
      <c r="AY92" s="16"/>
      <c r="AZ92" s="16">
        <v>15000</v>
      </c>
      <c r="BA92" s="16">
        <f t="shared" si="61"/>
        <v>0</v>
      </c>
      <c r="BB92" s="20"/>
      <c r="BC92" s="20" t="s">
        <v>233</v>
      </c>
      <c r="BD92" s="17"/>
      <c r="BE92" s="17">
        <v>350</v>
      </c>
      <c r="BF92" s="16">
        <f t="shared" si="62"/>
        <v>0</v>
      </c>
      <c r="BG92" s="20"/>
      <c r="BH92" s="20" t="s">
        <v>90</v>
      </c>
      <c r="BI92" s="20"/>
      <c r="BJ92" s="20">
        <v>7000</v>
      </c>
      <c r="BK92" s="16">
        <f t="shared" si="76"/>
        <v>0</v>
      </c>
      <c r="BL92" s="16"/>
      <c r="BM92" s="20" t="s">
        <v>90</v>
      </c>
      <c r="BN92" s="20"/>
      <c r="BO92" s="20">
        <v>7000</v>
      </c>
      <c r="BP92" s="16">
        <f t="shared" si="63"/>
        <v>0</v>
      </c>
      <c r="BQ92" s="16"/>
      <c r="BR92" s="16"/>
      <c r="BS92" s="16"/>
      <c r="BT92" s="16"/>
      <c r="BU92" s="16">
        <f t="shared" si="64"/>
        <v>0</v>
      </c>
      <c r="BV92" s="16"/>
      <c r="BW92" s="16"/>
      <c r="BX92" s="16"/>
      <c r="BY92" s="16"/>
      <c r="BZ92" s="16">
        <f t="shared" si="65"/>
        <v>0</v>
      </c>
      <c r="CA92" s="16"/>
      <c r="CB92" s="16"/>
      <c r="CC92" s="16"/>
      <c r="CD92" s="16"/>
      <c r="CE92" s="16">
        <f t="shared" si="66"/>
        <v>0</v>
      </c>
      <c r="CF92" s="16"/>
      <c r="CG92" s="16"/>
      <c r="CH92" s="16"/>
      <c r="CI92" s="23"/>
      <c r="CJ92" s="23">
        <f t="shared" si="67"/>
        <v>0</v>
      </c>
      <c r="CK92" s="20"/>
      <c r="CL92" s="20"/>
      <c r="CM92" s="20"/>
      <c r="CN92" s="20"/>
      <c r="CO92" s="23">
        <f t="shared" si="68"/>
        <v>0</v>
      </c>
      <c r="CP92" s="16"/>
      <c r="CQ92" s="16" t="s">
        <v>492</v>
      </c>
      <c r="CR92" s="16"/>
      <c r="CS92" s="16">
        <v>35000</v>
      </c>
      <c r="CT92" s="23">
        <f t="shared" si="69"/>
        <v>0</v>
      </c>
      <c r="CU92" s="20"/>
      <c r="CV92" s="20" t="s">
        <v>65</v>
      </c>
      <c r="CW92" s="20"/>
      <c r="CX92" s="20">
        <v>1000</v>
      </c>
      <c r="CY92" s="23">
        <f t="shared" si="70"/>
        <v>0</v>
      </c>
      <c r="CZ92" s="20"/>
      <c r="DA92" s="20" t="s">
        <v>198</v>
      </c>
      <c r="DB92" s="20"/>
      <c r="DC92" s="20">
        <v>22000</v>
      </c>
      <c r="DD92" s="23">
        <f t="shared" si="71"/>
        <v>0</v>
      </c>
      <c r="DE92" s="16"/>
      <c r="DF92" s="16" t="s">
        <v>493</v>
      </c>
      <c r="DG92" s="16"/>
      <c r="DH92" s="16">
        <v>40000</v>
      </c>
      <c r="DI92" s="16">
        <f t="shared" si="72"/>
        <v>0</v>
      </c>
      <c r="DJ92" s="20"/>
      <c r="DK92" s="16" t="s">
        <v>141</v>
      </c>
      <c r="DL92" s="16"/>
      <c r="DM92" s="16">
        <v>250</v>
      </c>
      <c r="DN92" s="16">
        <f t="shared" si="73"/>
        <v>0</v>
      </c>
      <c r="DO92" s="20"/>
      <c r="DP92" s="20" t="s">
        <v>53</v>
      </c>
      <c r="DQ92" s="20"/>
      <c r="DR92" s="20">
        <v>1000</v>
      </c>
      <c r="DS92" s="16">
        <f t="shared" si="74"/>
        <v>0</v>
      </c>
      <c r="DT92" s="20"/>
      <c r="DU92" s="20" t="s">
        <v>494</v>
      </c>
      <c r="DV92" s="20"/>
      <c r="DW92" s="20">
        <v>250</v>
      </c>
      <c r="DX92" s="24">
        <f t="shared" si="75"/>
        <v>0</v>
      </c>
    </row>
    <row r="93" spans="1:128" s="2" customFormat="1" x14ac:dyDescent="0.3">
      <c r="A93" s="20"/>
      <c r="B93" s="16" t="str">
        <f>DP68</f>
        <v>AROFAH</v>
      </c>
      <c r="C93" s="16">
        <f>DS97</f>
        <v>0</v>
      </c>
      <c r="D93" s="17"/>
      <c r="E93" s="20"/>
      <c r="F93" s="17"/>
      <c r="G93" s="17"/>
      <c r="H93" s="16">
        <f t="shared" si="52"/>
        <v>0</v>
      </c>
      <c r="I93" s="19"/>
      <c r="J93" s="16" t="s">
        <v>412</v>
      </c>
      <c r="K93" s="22"/>
      <c r="L93" s="16">
        <v>10000</v>
      </c>
      <c r="M93" s="16">
        <f t="shared" si="53"/>
        <v>0</v>
      </c>
      <c r="N93" s="17"/>
      <c r="O93" s="16" t="s">
        <v>42</v>
      </c>
      <c r="P93" s="16"/>
      <c r="Q93" s="16">
        <v>50000</v>
      </c>
      <c r="R93" s="16">
        <f t="shared" si="54"/>
        <v>0</v>
      </c>
      <c r="S93" s="20"/>
      <c r="T93" s="20" t="s">
        <v>495</v>
      </c>
      <c r="U93" s="20"/>
      <c r="V93" s="20">
        <v>250</v>
      </c>
      <c r="W93" s="16">
        <f t="shared" si="55"/>
        <v>0</v>
      </c>
      <c r="X93" s="16"/>
      <c r="Y93" s="16"/>
      <c r="Z93" s="16"/>
      <c r="AA93" s="16"/>
      <c r="AB93" s="16">
        <f t="shared" si="56"/>
        <v>0</v>
      </c>
      <c r="AC93" s="20"/>
      <c r="AD93" s="20" t="s">
        <v>496</v>
      </c>
      <c r="AE93" s="20"/>
      <c r="AF93" s="20">
        <v>250</v>
      </c>
      <c r="AG93" s="16">
        <f t="shared" si="57"/>
        <v>0</v>
      </c>
      <c r="AH93" s="16"/>
      <c r="AI93" s="16" t="s">
        <v>65</v>
      </c>
      <c r="AJ93" s="22"/>
      <c r="AK93" s="16">
        <v>950</v>
      </c>
      <c r="AL93" s="16">
        <f t="shared" si="58"/>
        <v>0</v>
      </c>
      <c r="AM93" s="16"/>
      <c r="AN93" s="16"/>
      <c r="AO93" s="16"/>
      <c r="AP93" s="16"/>
      <c r="AQ93" s="16">
        <f t="shared" si="77"/>
        <v>0</v>
      </c>
      <c r="AR93" s="16"/>
      <c r="AS93" s="16" t="s">
        <v>172</v>
      </c>
      <c r="AT93" s="16"/>
      <c r="AU93" s="16">
        <v>15000</v>
      </c>
      <c r="AV93" s="16">
        <f t="shared" si="60"/>
        <v>0</v>
      </c>
      <c r="AW93" s="16"/>
      <c r="AX93" s="16" t="s">
        <v>497</v>
      </c>
      <c r="AY93" s="16"/>
      <c r="AZ93" s="16"/>
      <c r="BA93" s="16">
        <f t="shared" si="61"/>
        <v>0</v>
      </c>
      <c r="BB93" s="20"/>
      <c r="BC93" s="20" t="s">
        <v>472</v>
      </c>
      <c r="BD93" s="17"/>
      <c r="BE93" s="17">
        <v>250</v>
      </c>
      <c r="BF93" s="16">
        <f t="shared" si="62"/>
        <v>0</v>
      </c>
      <c r="BG93" s="20"/>
      <c r="BH93" s="20" t="s">
        <v>498</v>
      </c>
      <c r="BI93" s="20"/>
      <c r="BJ93" s="20">
        <v>2000</v>
      </c>
      <c r="BK93" s="16">
        <f t="shared" si="76"/>
        <v>0</v>
      </c>
      <c r="BL93" s="16"/>
      <c r="BM93" s="20" t="s">
        <v>498</v>
      </c>
      <c r="BN93" s="20"/>
      <c r="BO93" s="20">
        <v>2000</v>
      </c>
      <c r="BP93" s="16">
        <f t="shared" si="63"/>
        <v>0</v>
      </c>
      <c r="BQ93" s="16"/>
      <c r="BR93" s="16"/>
      <c r="BS93" s="16"/>
      <c r="BT93" s="16"/>
      <c r="BU93" s="16">
        <f t="shared" si="64"/>
        <v>0</v>
      </c>
      <c r="BV93" s="16"/>
      <c r="BW93" s="16"/>
      <c r="BX93" s="16"/>
      <c r="BY93" s="16"/>
      <c r="BZ93" s="16">
        <f t="shared" si="65"/>
        <v>0</v>
      </c>
      <c r="CA93" s="16"/>
      <c r="CB93" s="16"/>
      <c r="CC93" s="16"/>
      <c r="CD93" s="16"/>
      <c r="CE93" s="16">
        <f t="shared" si="66"/>
        <v>0</v>
      </c>
      <c r="CF93" s="16"/>
      <c r="CG93" s="16"/>
      <c r="CH93" s="16"/>
      <c r="CI93" s="23"/>
      <c r="CJ93" s="23">
        <f t="shared" si="67"/>
        <v>0</v>
      </c>
      <c r="CK93" s="20"/>
      <c r="CL93" s="20"/>
      <c r="CM93" s="20"/>
      <c r="CN93" s="20"/>
      <c r="CO93" s="23">
        <f t="shared" si="68"/>
        <v>0</v>
      </c>
      <c r="CP93" s="16"/>
      <c r="CQ93" s="16" t="s">
        <v>164</v>
      </c>
      <c r="CR93" s="16"/>
      <c r="CS93" s="16">
        <v>15000</v>
      </c>
      <c r="CT93" s="23">
        <f t="shared" si="69"/>
        <v>0</v>
      </c>
      <c r="CU93" s="20"/>
      <c r="CV93" s="20" t="s">
        <v>53</v>
      </c>
      <c r="CW93" s="20"/>
      <c r="CX93" s="20">
        <v>1000</v>
      </c>
      <c r="CY93" s="23">
        <f t="shared" si="70"/>
        <v>0</v>
      </c>
      <c r="CZ93" s="20"/>
      <c r="DA93" s="20" t="s">
        <v>498</v>
      </c>
      <c r="DB93" s="20"/>
      <c r="DC93" s="20">
        <v>2500</v>
      </c>
      <c r="DD93" s="23">
        <f t="shared" si="71"/>
        <v>0</v>
      </c>
      <c r="DE93" s="16"/>
      <c r="DF93" s="16"/>
      <c r="DG93" s="16"/>
      <c r="DH93" s="16"/>
      <c r="DI93" s="16">
        <f t="shared" si="72"/>
        <v>0</v>
      </c>
      <c r="DJ93" s="20"/>
      <c r="DK93" s="20"/>
      <c r="DL93" s="20"/>
      <c r="DM93" s="20"/>
      <c r="DN93" s="16">
        <f t="shared" si="73"/>
        <v>0</v>
      </c>
      <c r="DO93" s="20"/>
      <c r="DP93" s="20" t="s">
        <v>93</v>
      </c>
      <c r="DQ93" s="20"/>
      <c r="DR93" s="20">
        <v>250</v>
      </c>
      <c r="DS93" s="16">
        <f t="shared" si="74"/>
        <v>0</v>
      </c>
      <c r="DT93" s="20"/>
      <c r="DU93" s="20" t="s">
        <v>129</v>
      </c>
      <c r="DV93" s="20"/>
      <c r="DW93" s="20">
        <v>5000</v>
      </c>
      <c r="DX93" s="24">
        <f t="shared" si="75"/>
        <v>0</v>
      </c>
    </row>
    <row r="94" spans="1:128" s="2" customFormat="1" x14ac:dyDescent="0.3">
      <c r="A94" s="20"/>
      <c r="B94" s="16" t="s">
        <v>30</v>
      </c>
      <c r="C94" s="16">
        <f>DX97</f>
        <v>0</v>
      </c>
      <c r="D94" s="17"/>
      <c r="E94" s="20"/>
      <c r="F94" s="17"/>
      <c r="G94" s="17"/>
      <c r="H94" s="16">
        <f t="shared" si="52"/>
        <v>0</v>
      </c>
      <c r="I94" s="19"/>
      <c r="J94" s="16" t="s">
        <v>141</v>
      </c>
      <c r="K94" s="27"/>
      <c r="L94" s="19">
        <v>250</v>
      </c>
      <c r="M94" s="16">
        <f t="shared" si="53"/>
        <v>0</v>
      </c>
      <c r="N94" s="17"/>
      <c r="O94" s="20" t="s">
        <v>406</v>
      </c>
      <c r="P94" s="21"/>
      <c r="Q94" s="19">
        <v>3500</v>
      </c>
      <c r="R94" s="16">
        <f t="shared" si="54"/>
        <v>0</v>
      </c>
      <c r="S94" s="20"/>
      <c r="T94" s="20" t="s">
        <v>147</v>
      </c>
      <c r="U94" s="20"/>
      <c r="V94" s="20">
        <v>250</v>
      </c>
      <c r="W94" s="16">
        <f t="shared" si="55"/>
        <v>0</v>
      </c>
      <c r="X94" s="16"/>
      <c r="Y94" s="16"/>
      <c r="Z94" s="16"/>
      <c r="AA94" s="16"/>
      <c r="AB94" s="16">
        <f t="shared" si="56"/>
        <v>0</v>
      </c>
      <c r="AC94" s="20"/>
      <c r="AD94" s="20" t="s">
        <v>394</v>
      </c>
      <c r="AE94" s="20"/>
      <c r="AF94" s="20">
        <v>250</v>
      </c>
      <c r="AG94" s="16">
        <f t="shared" si="57"/>
        <v>0</v>
      </c>
      <c r="AH94" s="16"/>
      <c r="AI94" s="16" t="s">
        <v>499</v>
      </c>
      <c r="AJ94" s="22"/>
      <c r="AK94" s="16">
        <v>7000</v>
      </c>
      <c r="AL94" s="16">
        <f t="shared" si="58"/>
        <v>0</v>
      </c>
      <c r="AM94" s="16"/>
      <c r="AN94" s="16"/>
      <c r="AO94" s="16"/>
      <c r="AP94" s="16"/>
      <c r="AQ94" s="16">
        <f t="shared" si="77"/>
        <v>0</v>
      </c>
      <c r="AR94" s="16"/>
      <c r="AS94" s="16" t="s">
        <v>442</v>
      </c>
      <c r="AT94" s="16"/>
      <c r="AU94" s="16">
        <v>15000</v>
      </c>
      <c r="AV94" s="16">
        <f t="shared" si="60"/>
        <v>0</v>
      </c>
      <c r="AW94" s="16"/>
      <c r="AX94" s="16"/>
      <c r="AY94" s="16"/>
      <c r="AZ94" s="16"/>
      <c r="BA94" s="16">
        <f t="shared" si="61"/>
        <v>0</v>
      </c>
      <c r="BB94" s="20"/>
      <c r="BC94" s="20" t="s">
        <v>90</v>
      </c>
      <c r="BD94" s="17"/>
      <c r="BE94" s="17">
        <v>7000</v>
      </c>
      <c r="BF94" s="16">
        <f t="shared" si="62"/>
        <v>0</v>
      </c>
      <c r="BG94" s="20"/>
      <c r="BH94" s="20" t="s">
        <v>312</v>
      </c>
      <c r="BI94" s="20"/>
      <c r="BJ94" s="16">
        <v>12000</v>
      </c>
      <c r="BK94" s="16">
        <f t="shared" si="76"/>
        <v>0</v>
      </c>
      <c r="BL94" s="16"/>
      <c r="BM94" s="20" t="s">
        <v>312</v>
      </c>
      <c r="BN94" s="20"/>
      <c r="BO94" s="16">
        <v>12000</v>
      </c>
      <c r="BP94" s="16">
        <f t="shared" si="63"/>
        <v>0</v>
      </c>
      <c r="BQ94" s="16"/>
      <c r="BR94" s="16"/>
      <c r="BS94" s="16"/>
      <c r="BT94" s="16"/>
      <c r="BU94" s="16">
        <f t="shared" si="64"/>
        <v>0</v>
      </c>
      <c r="BV94" s="16"/>
      <c r="BW94" s="16"/>
      <c r="BX94" s="16"/>
      <c r="BY94" s="16"/>
      <c r="BZ94" s="16">
        <f t="shared" si="65"/>
        <v>0</v>
      </c>
      <c r="CA94" s="16"/>
      <c r="CB94" s="16"/>
      <c r="CC94" s="16"/>
      <c r="CD94" s="16"/>
      <c r="CE94" s="16">
        <f t="shared" si="66"/>
        <v>0</v>
      </c>
      <c r="CF94" s="16"/>
      <c r="CG94" s="16"/>
      <c r="CH94" s="16"/>
      <c r="CI94" s="23"/>
      <c r="CJ94" s="23">
        <f t="shared" si="67"/>
        <v>0</v>
      </c>
      <c r="CK94" s="20"/>
      <c r="CL94" s="20"/>
      <c r="CM94" s="20"/>
      <c r="CN94" s="20"/>
      <c r="CO94" s="23">
        <f t="shared" si="68"/>
        <v>0</v>
      </c>
      <c r="CP94" s="16"/>
      <c r="CQ94" s="16" t="s">
        <v>65</v>
      </c>
      <c r="CR94" s="16"/>
      <c r="CS94" s="16">
        <v>950</v>
      </c>
      <c r="CT94" s="23">
        <f t="shared" si="69"/>
        <v>0</v>
      </c>
      <c r="CU94" s="20"/>
      <c r="CV94" s="20" t="s">
        <v>500</v>
      </c>
      <c r="CW94" s="20"/>
      <c r="CX94" s="20">
        <v>250</v>
      </c>
      <c r="CY94" s="23">
        <f t="shared" si="70"/>
        <v>0</v>
      </c>
      <c r="CZ94" s="20"/>
      <c r="DA94" s="20" t="s">
        <v>107</v>
      </c>
      <c r="DB94" s="20"/>
      <c r="DC94" s="20">
        <v>10000</v>
      </c>
      <c r="DD94" s="23">
        <f t="shared" si="71"/>
        <v>0</v>
      </c>
      <c r="DE94" s="16"/>
      <c r="DF94" s="16"/>
      <c r="DG94" s="16"/>
      <c r="DH94" s="16"/>
      <c r="DI94" s="16">
        <f t="shared" si="72"/>
        <v>0</v>
      </c>
      <c r="DJ94" s="20"/>
      <c r="DK94" s="20"/>
      <c r="DL94" s="20"/>
      <c r="DM94" s="20"/>
      <c r="DN94" s="16">
        <f t="shared" si="73"/>
        <v>0</v>
      </c>
      <c r="DO94" s="20"/>
      <c r="DP94" s="20" t="s">
        <v>83</v>
      </c>
      <c r="DQ94" s="20"/>
      <c r="DR94" s="20">
        <v>3300</v>
      </c>
      <c r="DS94" s="16">
        <f t="shared" si="74"/>
        <v>0</v>
      </c>
      <c r="DT94" s="20"/>
      <c r="DU94" s="20" t="s">
        <v>273</v>
      </c>
      <c r="DV94" s="20"/>
      <c r="DW94" s="20">
        <v>4000</v>
      </c>
      <c r="DX94" s="24">
        <f t="shared" si="75"/>
        <v>0</v>
      </c>
    </row>
    <row r="95" spans="1:128" s="2" customFormat="1" x14ac:dyDescent="0.3">
      <c r="A95" s="20"/>
      <c r="B95" s="16"/>
      <c r="C95" s="16"/>
      <c r="D95" s="17"/>
      <c r="E95" s="20"/>
      <c r="F95" s="17"/>
      <c r="G95" s="17"/>
      <c r="H95" s="16">
        <f t="shared" si="52"/>
        <v>0</v>
      </c>
      <c r="I95" s="19"/>
      <c r="J95" s="16" t="s">
        <v>251</v>
      </c>
      <c r="K95" s="27"/>
      <c r="L95" s="19">
        <v>20000</v>
      </c>
      <c r="M95" s="16">
        <f t="shared" si="53"/>
        <v>0</v>
      </c>
      <c r="N95" s="17"/>
      <c r="O95" s="20" t="s">
        <v>234</v>
      </c>
      <c r="P95" s="21"/>
      <c r="Q95" s="16">
        <v>250</v>
      </c>
      <c r="R95" s="16">
        <f t="shared" si="54"/>
        <v>0</v>
      </c>
      <c r="S95" s="20"/>
      <c r="T95" s="20" t="s">
        <v>416</v>
      </c>
      <c r="U95" s="20"/>
      <c r="V95" s="20">
        <v>250</v>
      </c>
      <c r="W95" s="16">
        <f t="shared" si="55"/>
        <v>0</v>
      </c>
      <c r="X95" s="16"/>
      <c r="Y95" s="16"/>
      <c r="Z95" s="16"/>
      <c r="AA95" s="16"/>
      <c r="AB95" s="16">
        <f t="shared" si="56"/>
        <v>0</v>
      </c>
      <c r="AC95" s="20"/>
      <c r="AD95" s="16" t="s">
        <v>195</v>
      </c>
      <c r="AE95" s="16"/>
      <c r="AF95" s="16">
        <v>500</v>
      </c>
      <c r="AG95" s="16">
        <f t="shared" si="57"/>
        <v>0</v>
      </c>
      <c r="AH95" s="16"/>
      <c r="AI95" s="16" t="s">
        <v>172</v>
      </c>
      <c r="AJ95" s="22"/>
      <c r="AK95" s="20">
        <v>15000</v>
      </c>
      <c r="AL95" s="16">
        <f t="shared" si="58"/>
        <v>0</v>
      </c>
      <c r="AM95" s="16"/>
      <c r="AN95" s="16"/>
      <c r="AO95" s="16"/>
      <c r="AP95" s="16"/>
      <c r="AQ95" s="16">
        <f t="shared" si="77"/>
        <v>0</v>
      </c>
      <c r="AR95" s="16"/>
      <c r="AS95" s="16" t="s">
        <v>62</v>
      </c>
      <c r="AT95" s="16"/>
      <c r="AU95" s="16">
        <v>7000</v>
      </c>
      <c r="AV95" s="16">
        <f t="shared" si="60"/>
        <v>0</v>
      </c>
      <c r="AW95" s="16"/>
      <c r="AX95" s="16"/>
      <c r="AY95" s="16"/>
      <c r="AZ95" s="16"/>
      <c r="BA95" s="16">
        <f t="shared" si="61"/>
        <v>0</v>
      </c>
      <c r="BB95" s="20"/>
      <c r="BC95" s="20" t="s">
        <v>147</v>
      </c>
      <c r="BD95" s="17"/>
      <c r="BE95" s="17">
        <v>250</v>
      </c>
      <c r="BF95" s="16">
        <f t="shared" si="62"/>
        <v>0</v>
      </c>
      <c r="BG95" s="20"/>
      <c r="BH95" s="20" t="s">
        <v>501</v>
      </c>
      <c r="BI95" s="20"/>
      <c r="BJ95" s="20">
        <v>250</v>
      </c>
      <c r="BK95" s="16">
        <f t="shared" si="76"/>
        <v>0</v>
      </c>
      <c r="BL95" s="16"/>
      <c r="BM95" s="20" t="s">
        <v>501</v>
      </c>
      <c r="BN95" s="20"/>
      <c r="BO95" s="20">
        <v>250</v>
      </c>
      <c r="BP95" s="16">
        <f t="shared" si="63"/>
        <v>0</v>
      </c>
      <c r="BQ95" s="16"/>
      <c r="BR95" s="16"/>
      <c r="BS95" s="16"/>
      <c r="BT95" s="16"/>
      <c r="BU95" s="16">
        <f t="shared" si="64"/>
        <v>0</v>
      </c>
      <c r="BV95" s="16"/>
      <c r="BW95" s="16"/>
      <c r="BX95" s="16"/>
      <c r="BY95" s="16"/>
      <c r="BZ95" s="16">
        <f t="shared" si="65"/>
        <v>0</v>
      </c>
      <c r="CA95" s="16"/>
      <c r="CB95" s="16"/>
      <c r="CC95" s="16"/>
      <c r="CD95" s="16"/>
      <c r="CE95" s="16">
        <f t="shared" si="66"/>
        <v>0</v>
      </c>
      <c r="CF95" s="16"/>
      <c r="CG95" s="16"/>
      <c r="CH95" s="16"/>
      <c r="CI95" s="23"/>
      <c r="CJ95" s="23">
        <f t="shared" si="67"/>
        <v>0</v>
      </c>
      <c r="CK95" s="20"/>
      <c r="CL95" s="20"/>
      <c r="CM95" s="20"/>
      <c r="CN95" s="20"/>
      <c r="CO95" s="23">
        <f t="shared" si="68"/>
        <v>0</v>
      </c>
      <c r="CP95" s="16"/>
      <c r="CQ95" s="16" t="s">
        <v>160</v>
      </c>
      <c r="CR95" s="16"/>
      <c r="CS95" s="16">
        <v>250</v>
      </c>
      <c r="CT95" s="23">
        <f t="shared" si="69"/>
        <v>0</v>
      </c>
      <c r="CU95" s="20"/>
      <c r="CV95" s="20" t="s">
        <v>273</v>
      </c>
      <c r="CW95" s="20"/>
      <c r="CX95" s="20">
        <v>4000</v>
      </c>
      <c r="CY95" s="23">
        <f t="shared" si="70"/>
        <v>0</v>
      </c>
      <c r="CZ95" s="20"/>
      <c r="DA95" s="16" t="s">
        <v>502</v>
      </c>
      <c r="DB95" s="20"/>
      <c r="DC95" s="20">
        <v>10000</v>
      </c>
      <c r="DD95" s="23">
        <f t="shared" si="71"/>
        <v>0</v>
      </c>
      <c r="DE95" s="16"/>
      <c r="DF95" s="16"/>
      <c r="DG95" s="16"/>
      <c r="DH95" s="16"/>
      <c r="DI95" s="16">
        <f t="shared" si="72"/>
        <v>0</v>
      </c>
      <c r="DJ95" s="20"/>
      <c r="DK95" s="20"/>
      <c r="DL95" s="20"/>
      <c r="DM95" s="20"/>
      <c r="DN95" s="16">
        <f t="shared" si="73"/>
        <v>0</v>
      </c>
      <c r="DO95" s="20"/>
      <c r="DP95" s="20" t="s">
        <v>88</v>
      </c>
      <c r="DQ95" s="20"/>
      <c r="DR95" s="20">
        <v>2500</v>
      </c>
      <c r="DS95" s="16">
        <f t="shared" si="74"/>
        <v>0</v>
      </c>
      <c r="DT95" s="20"/>
      <c r="DU95" s="20" t="s">
        <v>69</v>
      </c>
      <c r="DV95" s="20"/>
      <c r="DW95" s="20">
        <v>1000</v>
      </c>
      <c r="DX95" s="24">
        <f t="shared" si="75"/>
        <v>0</v>
      </c>
    </row>
    <row r="96" spans="1:128" s="2" customFormat="1" x14ac:dyDescent="0.3">
      <c r="A96" s="20"/>
      <c r="B96" s="16"/>
      <c r="C96" s="16"/>
      <c r="D96" s="17"/>
      <c r="E96" s="20"/>
      <c r="F96" s="17"/>
      <c r="G96" s="17"/>
      <c r="H96" s="16">
        <f t="shared" si="52"/>
        <v>0</v>
      </c>
      <c r="I96" s="19"/>
      <c r="J96" s="16" t="s">
        <v>503</v>
      </c>
      <c r="K96" s="27"/>
      <c r="L96" s="19">
        <v>250</v>
      </c>
      <c r="M96" s="16">
        <f t="shared" si="53"/>
        <v>0</v>
      </c>
      <c r="N96" s="17"/>
      <c r="O96" s="20" t="s">
        <v>385</v>
      </c>
      <c r="P96" s="20"/>
      <c r="Q96" s="16">
        <v>5000</v>
      </c>
      <c r="R96" s="16">
        <f t="shared" si="54"/>
        <v>0</v>
      </c>
      <c r="S96" s="20"/>
      <c r="T96" s="20" t="s">
        <v>90</v>
      </c>
      <c r="U96" s="20"/>
      <c r="V96" s="20">
        <v>9000</v>
      </c>
      <c r="W96" s="16">
        <f t="shared" si="55"/>
        <v>0</v>
      </c>
      <c r="X96" s="16"/>
      <c r="Y96" s="16"/>
      <c r="Z96" s="16"/>
      <c r="AA96" s="16"/>
      <c r="AB96" s="16">
        <f t="shared" si="56"/>
        <v>0</v>
      </c>
      <c r="AC96" s="20"/>
      <c r="AD96" s="20" t="s">
        <v>286</v>
      </c>
      <c r="AE96" s="20"/>
      <c r="AF96" s="20">
        <v>15000</v>
      </c>
      <c r="AG96" s="16">
        <f t="shared" si="57"/>
        <v>0</v>
      </c>
      <c r="AH96" s="16"/>
      <c r="AI96" s="16" t="s">
        <v>442</v>
      </c>
      <c r="AJ96" s="22"/>
      <c r="AK96" s="20">
        <v>15000</v>
      </c>
      <c r="AL96" s="16">
        <f t="shared" si="58"/>
        <v>0</v>
      </c>
      <c r="AM96" s="16"/>
      <c r="AN96" s="16"/>
      <c r="AO96" s="16"/>
      <c r="AP96" s="16"/>
      <c r="AQ96" s="16">
        <f t="shared" si="77"/>
        <v>0</v>
      </c>
      <c r="AR96" s="16"/>
      <c r="AS96" s="16"/>
      <c r="AT96" s="16"/>
      <c r="AU96" s="16"/>
      <c r="AV96" s="16">
        <f t="shared" si="60"/>
        <v>0</v>
      </c>
      <c r="AW96" s="16"/>
      <c r="AX96" s="16"/>
      <c r="AY96" s="16"/>
      <c r="AZ96" s="16"/>
      <c r="BA96" s="16">
        <f t="shared" si="61"/>
        <v>0</v>
      </c>
      <c r="BB96" s="20"/>
      <c r="BC96" s="20" t="s">
        <v>401</v>
      </c>
      <c r="BD96" s="17"/>
      <c r="BE96" s="17">
        <v>250</v>
      </c>
      <c r="BF96" s="16">
        <f t="shared" si="62"/>
        <v>0</v>
      </c>
      <c r="BG96" s="20"/>
      <c r="BH96" s="20" t="s">
        <v>148</v>
      </c>
      <c r="BI96" s="20"/>
      <c r="BJ96" s="20">
        <v>250</v>
      </c>
      <c r="BK96" s="16">
        <f t="shared" si="76"/>
        <v>0</v>
      </c>
      <c r="BL96" s="16"/>
      <c r="BM96" s="20" t="s">
        <v>148</v>
      </c>
      <c r="BN96" s="20"/>
      <c r="BO96" s="20">
        <v>250</v>
      </c>
      <c r="BP96" s="16">
        <f t="shared" si="63"/>
        <v>0</v>
      </c>
      <c r="BQ96" s="16"/>
      <c r="BR96" s="16"/>
      <c r="BS96" s="16"/>
      <c r="BT96" s="16"/>
      <c r="BU96" s="16">
        <f t="shared" si="64"/>
        <v>0</v>
      </c>
      <c r="BV96" s="16"/>
      <c r="BW96" s="16"/>
      <c r="BX96" s="16"/>
      <c r="BY96" s="16"/>
      <c r="BZ96" s="16">
        <f t="shared" si="65"/>
        <v>0</v>
      </c>
      <c r="CA96" s="16"/>
      <c r="CB96" s="16"/>
      <c r="CC96" s="16"/>
      <c r="CD96" s="16"/>
      <c r="CE96" s="16">
        <f t="shared" si="66"/>
        <v>0</v>
      </c>
      <c r="CF96" s="16"/>
      <c r="CG96" s="16"/>
      <c r="CH96" s="16"/>
      <c r="CI96" s="23"/>
      <c r="CJ96" s="23">
        <f t="shared" si="67"/>
        <v>0</v>
      </c>
      <c r="CK96" s="20"/>
      <c r="CL96" s="20"/>
      <c r="CM96" s="20"/>
      <c r="CN96" s="20"/>
      <c r="CO96" s="23">
        <f t="shared" si="68"/>
        <v>0</v>
      </c>
      <c r="CP96" s="16"/>
      <c r="CQ96" s="16" t="s">
        <v>504</v>
      </c>
      <c r="CR96" s="16"/>
      <c r="CS96" s="16">
        <v>20000</v>
      </c>
      <c r="CT96" s="23">
        <f t="shared" si="69"/>
        <v>0</v>
      </c>
      <c r="CU96" s="20"/>
      <c r="CV96" s="20" t="s">
        <v>371</v>
      </c>
      <c r="CW96" s="20"/>
      <c r="CX96" s="20">
        <v>250</v>
      </c>
      <c r="CY96" s="23">
        <f t="shared" si="70"/>
        <v>0</v>
      </c>
      <c r="CZ96" s="20"/>
      <c r="DA96" s="16" t="s">
        <v>505</v>
      </c>
      <c r="DB96" s="16"/>
      <c r="DC96" s="19">
        <v>250</v>
      </c>
      <c r="DD96" s="23">
        <f t="shared" si="71"/>
        <v>0</v>
      </c>
      <c r="DE96" s="16"/>
      <c r="DF96" s="16"/>
      <c r="DG96" s="16"/>
      <c r="DH96" s="16"/>
      <c r="DI96" s="16">
        <f t="shared" si="72"/>
        <v>0</v>
      </c>
      <c r="DJ96" s="20"/>
      <c r="DK96" s="20"/>
      <c r="DL96" s="20"/>
      <c r="DM96" s="20"/>
      <c r="DN96" s="16">
        <f t="shared" si="73"/>
        <v>0</v>
      </c>
      <c r="DO96" s="20"/>
      <c r="DP96" s="20" t="s">
        <v>506</v>
      </c>
      <c r="DQ96" s="20"/>
      <c r="DR96" s="20">
        <v>6500</v>
      </c>
      <c r="DS96" s="16">
        <f t="shared" si="74"/>
        <v>0</v>
      </c>
      <c r="DT96" s="20"/>
      <c r="DU96" s="20" t="s">
        <v>53</v>
      </c>
      <c r="DV96" s="20"/>
      <c r="DW96" s="20">
        <v>1000</v>
      </c>
      <c r="DX96" s="24">
        <f t="shared" si="75"/>
        <v>0</v>
      </c>
    </row>
    <row r="97" spans="1:128" s="2" customFormat="1" x14ac:dyDescent="0.3">
      <c r="A97" s="28"/>
      <c r="B97" s="29" t="s">
        <v>292</v>
      </c>
      <c r="C97" s="29">
        <f>SUM(C70:C96)</f>
        <v>0</v>
      </c>
      <c r="D97" s="30" t="s">
        <v>293</v>
      </c>
      <c r="E97" s="30"/>
      <c r="F97" s="30"/>
      <c r="G97" s="30"/>
      <c r="H97" s="31">
        <f>SUM(H70:H96)</f>
        <v>0</v>
      </c>
      <c r="I97" s="32" t="s">
        <v>293</v>
      </c>
      <c r="J97" s="32"/>
      <c r="K97" s="32"/>
      <c r="L97" s="32"/>
      <c r="M97" s="29">
        <f>SUM(M70:M96)</f>
        <v>0</v>
      </c>
      <c r="N97" s="33" t="s">
        <v>293</v>
      </c>
      <c r="O97" s="33"/>
      <c r="P97" s="33"/>
      <c r="Q97" s="34"/>
      <c r="R97" s="29">
        <f>SUM(R70:R96)</f>
        <v>0</v>
      </c>
      <c r="S97" s="30" t="s">
        <v>293</v>
      </c>
      <c r="T97" s="30"/>
      <c r="U97" s="30"/>
      <c r="V97" s="30"/>
      <c r="W97" s="31">
        <f>SUM(W70:W96)</f>
        <v>0</v>
      </c>
      <c r="X97" s="32" t="s">
        <v>293</v>
      </c>
      <c r="Y97" s="32"/>
      <c r="Z97" s="32"/>
      <c r="AA97" s="32"/>
      <c r="AB97" s="29">
        <f>SUM(AB70:AB96)</f>
        <v>0</v>
      </c>
      <c r="AC97" s="30" t="s">
        <v>293</v>
      </c>
      <c r="AD97" s="30"/>
      <c r="AE97" s="30"/>
      <c r="AF97" s="30"/>
      <c r="AG97" s="31">
        <f>SUM(AG70:AG96)</f>
        <v>0</v>
      </c>
      <c r="AH97" s="32" t="s">
        <v>293</v>
      </c>
      <c r="AI97" s="32"/>
      <c r="AJ97" s="32"/>
      <c r="AK97" s="32"/>
      <c r="AL97" s="29">
        <f>SUM(AL70:AL96)</f>
        <v>0</v>
      </c>
      <c r="AM97" s="32" t="s">
        <v>293</v>
      </c>
      <c r="AN97" s="32"/>
      <c r="AO97" s="32"/>
      <c r="AP97" s="32"/>
      <c r="AQ97" s="29">
        <f>SUM(AQ70:AQ96)</f>
        <v>0</v>
      </c>
      <c r="AR97" s="32" t="s">
        <v>293</v>
      </c>
      <c r="AS97" s="32"/>
      <c r="AT97" s="32"/>
      <c r="AU97" s="32"/>
      <c r="AV97" s="29">
        <f>SUM(AV70:AV96)</f>
        <v>0</v>
      </c>
      <c r="AW97" s="32" t="s">
        <v>293</v>
      </c>
      <c r="AX97" s="32"/>
      <c r="AY97" s="32"/>
      <c r="AZ97" s="32"/>
      <c r="BA97" s="29">
        <f>SUM(BA70:BA96)</f>
        <v>0</v>
      </c>
      <c r="BB97" s="30" t="s">
        <v>293</v>
      </c>
      <c r="BC97" s="30"/>
      <c r="BD97" s="30"/>
      <c r="BE97" s="30"/>
      <c r="BF97" s="31">
        <f>SUM(BF70:BF96)</f>
        <v>0</v>
      </c>
      <c r="BG97" s="30" t="s">
        <v>293</v>
      </c>
      <c r="BH97" s="30"/>
      <c r="BI97" s="30"/>
      <c r="BJ97" s="30"/>
      <c r="BK97" s="31">
        <f>SUM(BK70:BK96)</f>
        <v>0</v>
      </c>
      <c r="BL97" s="32" t="s">
        <v>293</v>
      </c>
      <c r="BM97" s="32"/>
      <c r="BN97" s="32"/>
      <c r="BO97" s="32"/>
      <c r="BP97" s="29">
        <f>SUM(BP70:BP96)</f>
        <v>0</v>
      </c>
      <c r="BQ97" s="32" t="s">
        <v>293</v>
      </c>
      <c r="BR97" s="32"/>
      <c r="BS97" s="32"/>
      <c r="BT97" s="32"/>
      <c r="BU97" s="29">
        <f>SUM(BU70:BU96)</f>
        <v>0</v>
      </c>
      <c r="BV97" s="32" t="s">
        <v>293</v>
      </c>
      <c r="BW97" s="32"/>
      <c r="BX97" s="32"/>
      <c r="BY97" s="32"/>
      <c r="BZ97" s="29">
        <f>SUM(BZ71:BZ96)</f>
        <v>0</v>
      </c>
      <c r="CA97" s="32" t="s">
        <v>293</v>
      </c>
      <c r="CB97" s="32"/>
      <c r="CC97" s="32"/>
      <c r="CD97" s="32"/>
      <c r="CE97" s="29">
        <f>SUM(CE70:CE96)</f>
        <v>0</v>
      </c>
      <c r="CF97" s="32" t="s">
        <v>293</v>
      </c>
      <c r="CG97" s="32"/>
      <c r="CH97" s="32"/>
      <c r="CI97" s="32"/>
      <c r="CJ97" s="29">
        <f>SUM(CJ70:CJ96)</f>
        <v>0</v>
      </c>
      <c r="CK97" s="30" t="s">
        <v>293</v>
      </c>
      <c r="CL97" s="30"/>
      <c r="CM97" s="30"/>
      <c r="CN97" s="30"/>
      <c r="CO97" s="29">
        <f>SUM(CO70:CO96)</f>
        <v>0</v>
      </c>
      <c r="CP97" s="32" t="s">
        <v>293</v>
      </c>
      <c r="CQ97" s="32"/>
      <c r="CR97" s="32"/>
      <c r="CS97" s="32"/>
      <c r="CT97" s="29">
        <f>SUM(CT70:CT96)</f>
        <v>0</v>
      </c>
      <c r="CU97" s="30" t="s">
        <v>293</v>
      </c>
      <c r="CV97" s="30"/>
      <c r="CW97" s="30"/>
      <c r="CX97" s="30"/>
      <c r="CY97" s="29">
        <f>SUM(CY70:CY96)</f>
        <v>0</v>
      </c>
      <c r="CZ97" s="30" t="s">
        <v>293</v>
      </c>
      <c r="DA97" s="30"/>
      <c r="DB97" s="30"/>
      <c r="DC97" s="30"/>
      <c r="DD97" s="29">
        <f>SUM(DD70:DD96)</f>
        <v>0</v>
      </c>
      <c r="DE97" s="32" t="s">
        <v>293</v>
      </c>
      <c r="DF97" s="32"/>
      <c r="DG97" s="32"/>
      <c r="DH97" s="32"/>
      <c r="DI97" s="29">
        <f>SUM(DI70:DI96)</f>
        <v>0</v>
      </c>
      <c r="DJ97" s="30" t="s">
        <v>293</v>
      </c>
      <c r="DK97" s="30"/>
      <c r="DL97" s="30"/>
      <c r="DM97" s="30"/>
      <c r="DN97" s="29">
        <f>SUM(DN70:DN96)</f>
        <v>0</v>
      </c>
      <c r="DO97" s="33" t="s">
        <v>293</v>
      </c>
      <c r="DP97" s="35"/>
      <c r="DQ97" s="35"/>
      <c r="DR97" s="36"/>
      <c r="DS97" s="29">
        <f>SUM(DS70:DS96)</f>
        <v>0</v>
      </c>
      <c r="DT97" s="30" t="s">
        <v>293</v>
      </c>
      <c r="DU97" s="30"/>
      <c r="DV97" s="30"/>
      <c r="DW97" s="30"/>
      <c r="DX97" s="37">
        <f>SUM(DX70:DX96)</f>
        <v>0</v>
      </c>
    </row>
    <row r="98" spans="1:128" s="54" customFormat="1" x14ac:dyDescent="0.3">
      <c r="A98" s="5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3"/>
    </row>
    <row r="99" spans="1:128" s="2" customFormat="1" ht="15" customHeight="1" x14ac:dyDescent="0.3">
      <c r="A99" s="7" t="s">
        <v>2</v>
      </c>
      <c r="B99" s="8" t="s">
        <v>3</v>
      </c>
      <c r="C99" s="9" t="s">
        <v>4</v>
      </c>
      <c r="D99" s="7" t="s">
        <v>5</v>
      </c>
      <c r="E99" s="10" t="s">
        <v>6</v>
      </c>
      <c r="F99" s="10"/>
      <c r="G99" s="10"/>
      <c r="H99" s="10"/>
      <c r="I99" s="7" t="s">
        <v>5</v>
      </c>
      <c r="J99" s="10" t="s">
        <v>7</v>
      </c>
      <c r="K99" s="10"/>
      <c r="L99" s="10"/>
      <c r="M99" s="10"/>
      <c r="N99" s="7" t="s">
        <v>5</v>
      </c>
      <c r="O99" s="10" t="s">
        <v>8</v>
      </c>
      <c r="P99" s="10"/>
      <c r="Q99" s="10"/>
      <c r="R99" s="10"/>
      <c r="S99" s="7" t="s">
        <v>5</v>
      </c>
      <c r="T99" s="10" t="s">
        <v>9</v>
      </c>
      <c r="U99" s="10"/>
      <c r="V99" s="10"/>
      <c r="W99" s="10"/>
      <c r="X99" s="7" t="s">
        <v>5</v>
      </c>
      <c r="Y99" s="10" t="s">
        <v>10</v>
      </c>
      <c r="Z99" s="10"/>
      <c r="AA99" s="10"/>
      <c r="AB99" s="10"/>
      <c r="AC99" s="7" t="s">
        <v>5</v>
      </c>
      <c r="AD99" s="10" t="s">
        <v>11</v>
      </c>
      <c r="AE99" s="10"/>
      <c r="AF99" s="10"/>
      <c r="AG99" s="10"/>
      <c r="AH99" s="7" t="s">
        <v>5</v>
      </c>
      <c r="AI99" s="10" t="s">
        <v>12</v>
      </c>
      <c r="AJ99" s="10"/>
      <c r="AK99" s="10"/>
      <c r="AL99" s="10"/>
      <c r="AM99" s="7" t="s">
        <v>5</v>
      </c>
      <c r="AN99" s="10" t="s">
        <v>13</v>
      </c>
      <c r="AO99" s="10"/>
      <c r="AP99" s="10"/>
      <c r="AQ99" s="10"/>
      <c r="AR99" s="7" t="s">
        <v>5</v>
      </c>
      <c r="AS99" s="10" t="s">
        <v>14</v>
      </c>
      <c r="AT99" s="10"/>
      <c r="AU99" s="10"/>
      <c r="AV99" s="10"/>
      <c r="AW99" s="55" t="s">
        <v>5</v>
      </c>
      <c r="AX99" s="10" t="s">
        <v>15</v>
      </c>
      <c r="AY99" s="10"/>
      <c r="AZ99" s="10"/>
      <c r="BA99" s="10"/>
      <c r="BB99" s="7" t="s">
        <v>5</v>
      </c>
      <c r="BC99" s="10" t="s">
        <v>16</v>
      </c>
      <c r="BD99" s="10"/>
      <c r="BE99" s="10"/>
      <c r="BF99" s="10"/>
      <c r="BG99" s="7" t="s">
        <v>5</v>
      </c>
      <c r="BH99" s="10" t="s">
        <v>17</v>
      </c>
      <c r="BI99" s="10"/>
      <c r="BJ99" s="10"/>
      <c r="BK99" s="10"/>
      <c r="BL99" s="7" t="s">
        <v>5</v>
      </c>
      <c r="BM99" s="10" t="s">
        <v>18</v>
      </c>
      <c r="BN99" s="10"/>
      <c r="BO99" s="10"/>
      <c r="BP99" s="10"/>
      <c r="BQ99" s="7" t="s">
        <v>5</v>
      </c>
      <c r="BR99" s="10" t="s">
        <v>19</v>
      </c>
      <c r="BS99" s="10"/>
      <c r="BT99" s="10"/>
      <c r="BU99" s="10"/>
      <c r="BV99" s="7" t="s">
        <v>5</v>
      </c>
      <c r="BW99" s="10" t="s">
        <v>20</v>
      </c>
      <c r="BX99" s="10"/>
      <c r="BY99" s="10"/>
      <c r="BZ99" s="10"/>
      <c r="CA99" s="7" t="s">
        <v>5</v>
      </c>
      <c r="CB99" s="10" t="s">
        <v>21</v>
      </c>
      <c r="CC99" s="10"/>
      <c r="CD99" s="10"/>
      <c r="CE99" s="10"/>
      <c r="CF99" s="7" t="s">
        <v>5</v>
      </c>
      <c r="CG99" s="38" t="s">
        <v>22</v>
      </c>
      <c r="CH99" s="38"/>
      <c r="CI99" s="38"/>
      <c r="CJ99" s="38"/>
      <c r="CK99" s="7" t="s">
        <v>5</v>
      </c>
      <c r="CL99" s="10" t="s">
        <v>23</v>
      </c>
      <c r="CM99" s="10"/>
      <c r="CN99" s="10"/>
      <c r="CO99" s="10"/>
      <c r="CP99" s="7" t="s">
        <v>5</v>
      </c>
      <c r="CQ99" s="10" t="s">
        <v>24</v>
      </c>
      <c r="CR99" s="10"/>
      <c r="CS99" s="10"/>
      <c r="CT99" s="10"/>
      <c r="CU99" s="7" t="s">
        <v>5</v>
      </c>
      <c r="CV99" s="10" t="s">
        <v>25</v>
      </c>
      <c r="CW99" s="10"/>
      <c r="CX99" s="10"/>
      <c r="CY99" s="10"/>
      <c r="CZ99" s="7" t="s">
        <v>5</v>
      </c>
      <c r="DA99" s="10" t="s">
        <v>507</v>
      </c>
      <c r="DB99" s="10"/>
      <c r="DC99" s="10"/>
      <c r="DD99" s="10"/>
      <c r="DE99" s="7" t="s">
        <v>5</v>
      </c>
      <c r="DF99" s="10" t="s">
        <v>27</v>
      </c>
      <c r="DG99" s="10"/>
      <c r="DH99" s="10"/>
      <c r="DI99" s="10"/>
      <c r="DJ99" s="7" t="s">
        <v>5</v>
      </c>
      <c r="DK99" s="10" t="s">
        <v>28</v>
      </c>
      <c r="DL99" s="10"/>
      <c r="DM99" s="10"/>
      <c r="DN99" s="10"/>
      <c r="DO99" s="7" t="s">
        <v>5</v>
      </c>
      <c r="DP99" s="38" t="s">
        <v>29</v>
      </c>
      <c r="DQ99" s="39"/>
      <c r="DR99" s="39"/>
      <c r="DS99" s="40"/>
      <c r="DT99" s="7" t="s">
        <v>5</v>
      </c>
      <c r="DU99" s="10" t="s">
        <v>30</v>
      </c>
      <c r="DV99" s="10"/>
      <c r="DW99" s="10"/>
      <c r="DX99" s="10"/>
    </row>
    <row r="100" spans="1:128" s="2" customFormat="1" ht="28.8" x14ac:dyDescent="0.3">
      <c r="A100" s="7"/>
      <c r="B100" s="8"/>
      <c r="C100" s="9"/>
      <c r="D100" s="7"/>
      <c r="E100" s="11" t="s">
        <v>31</v>
      </c>
      <c r="F100" s="12" t="s">
        <v>32</v>
      </c>
      <c r="G100" s="12" t="s">
        <v>33</v>
      </c>
      <c r="H100" s="13" t="s">
        <v>34</v>
      </c>
      <c r="I100" s="7"/>
      <c r="J100" s="11" t="s">
        <v>31</v>
      </c>
      <c r="K100" s="14" t="s">
        <v>32</v>
      </c>
      <c r="L100" s="14" t="s">
        <v>33</v>
      </c>
      <c r="M100" s="13" t="s">
        <v>34</v>
      </c>
      <c r="N100" s="7"/>
      <c r="O100" s="13" t="s">
        <v>31</v>
      </c>
      <c r="P100" s="14" t="s">
        <v>32</v>
      </c>
      <c r="Q100" s="14" t="s">
        <v>33</v>
      </c>
      <c r="R100" s="13" t="s">
        <v>34</v>
      </c>
      <c r="S100" s="7"/>
      <c r="T100" s="13" t="s">
        <v>31</v>
      </c>
      <c r="U100" s="14" t="s">
        <v>32</v>
      </c>
      <c r="V100" s="14" t="s">
        <v>35</v>
      </c>
      <c r="W100" s="13" t="s">
        <v>34</v>
      </c>
      <c r="X100" s="7"/>
      <c r="Y100" s="13" t="s">
        <v>31</v>
      </c>
      <c r="Z100" s="14" t="s">
        <v>32</v>
      </c>
      <c r="AA100" s="14" t="s">
        <v>35</v>
      </c>
      <c r="AB100" s="13" t="s">
        <v>37</v>
      </c>
      <c r="AC100" s="7"/>
      <c r="AD100" s="13" t="s">
        <v>31</v>
      </c>
      <c r="AE100" s="14" t="s">
        <v>32</v>
      </c>
      <c r="AF100" s="14" t="s">
        <v>33</v>
      </c>
      <c r="AG100" s="13" t="s">
        <v>34</v>
      </c>
      <c r="AH100" s="7"/>
      <c r="AI100" s="13" t="s">
        <v>31</v>
      </c>
      <c r="AJ100" s="12" t="s">
        <v>32</v>
      </c>
      <c r="AK100" s="14" t="s">
        <v>35</v>
      </c>
      <c r="AL100" s="13" t="s">
        <v>36</v>
      </c>
      <c r="AM100" s="7"/>
      <c r="AN100" s="13" t="s">
        <v>31</v>
      </c>
      <c r="AO100" s="14" t="s">
        <v>32</v>
      </c>
      <c r="AP100" s="14" t="s">
        <v>33</v>
      </c>
      <c r="AQ100" s="13" t="s">
        <v>34</v>
      </c>
      <c r="AR100" s="7"/>
      <c r="AS100" s="13" t="s">
        <v>31</v>
      </c>
      <c r="AT100" s="14" t="s">
        <v>32</v>
      </c>
      <c r="AU100" s="14" t="s">
        <v>35</v>
      </c>
      <c r="AV100" s="13" t="s">
        <v>37</v>
      </c>
      <c r="AW100" s="55"/>
      <c r="AX100" s="13" t="s">
        <v>31</v>
      </c>
      <c r="AY100" s="14" t="s">
        <v>32</v>
      </c>
      <c r="AZ100" s="14"/>
      <c r="BA100" s="13" t="s">
        <v>34</v>
      </c>
      <c r="BB100" s="7"/>
      <c r="BC100" s="13" t="s">
        <v>31</v>
      </c>
      <c r="BD100" s="12" t="s">
        <v>32</v>
      </c>
      <c r="BE100" s="12" t="s">
        <v>35</v>
      </c>
      <c r="BF100" s="13" t="s">
        <v>37</v>
      </c>
      <c r="BG100" s="7"/>
      <c r="BH100" s="13" t="s">
        <v>31</v>
      </c>
      <c r="BI100" s="14" t="s">
        <v>32</v>
      </c>
      <c r="BJ100" s="12" t="s">
        <v>35</v>
      </c>
      <c r="BK100" s="13" t="s">
        <v>34</v>
      </c>
      <c r="BL100" s="7"/>
      <c r="BM100" s="13" t="s">
        <v>31</v>
      </c>
      <c r="BN100" s="14" t="s">
        <v>32</v>
      </c>
      <c r="BO100" s="14" t="s">
        <v>35</v>
      </c>
      <c r="BP100" s="13" t="s">
        <v>37</v>
      </c>
      <c r="BQ100" s="7"/>
      <c r="BR100" s="13" t="s">
        <v>31</v>
      </c>
      <c r="BS100" s="14" t="s">
        <v>32</v>
      </c>
      <c r="BT100" s="14" t="s">
        <v>33</v>
      </c>
      <c r="BU100" s="13" t="s">
        <v>37</v>
      </c>
      <c r="BV100" s="7"/>
      <c r="BW100" s="13" t="s">
        <v>31</v>
      </c>
      <c r="BX100" s="14" t="s">
        <v>32</v>
      </c>
      <c r="BY100" s="14"/>
      <c r="BZ100" s="13" t="s">
        <v>34</v>
      </c>
      <c r="CA100" s="7"/>
      <c r="CB100" s="13" t="s">
        <v>31</v>
      </c>
      <c r="CC100" s="14" t="s">
        <v>32</v>
      </c>
      <c r="CD100" s="14" t="s">
        <v>35</v>
      </c>
      <c r="CE100" s="12" t="s">
        <v>36</v>
      </c>
      <c r="CF100" s="7"/>
      <c r="CG100" s="13" t="s">
        <v>31</v>
      </c>
      <c r="CH100" s="14" t="s">
        <v>32</v>
      </c>
      <c r="CI100" s="46"/>
      <c r="CJ100" s="41" t="s">
        <v>34</v>
      </c>
      <c r="CK100" s="7"/>
      <c r="CL100" s="13" t="s">
        <v>31</v>
      </c>
      <c r="CM100" s="12" t="s">
        <v>32</v>
      </c>
      <c r="CN100" s="12" t="s">
        <v>35</v>
      </c>
      <c r="CO100" s="13" t="s">
        <v>37</v>
      </c>
      <c r="CP100" s="7"/>
      <c r="CQ100" s="13" t="s">
        <v>31</v>
      </c>
      <c r="CR100" s="12" t="s">
        <v>32</v>
      </c>
      <c r="CS100" s="12" t="s">
        <v>35</v>
      </c>
      <c r="CT100" s="13" t="s">
        <v>37</v>
      </c>
      <c r="CU100" s="7"/>
      <c r="CV100" s="13" t="s">
        <v>31</v>
      </c>
      <c r="CW100" s="12" t="s">
        <v>32</v>
      </c>
      <c r="CX100" s="12" t="s">
        <v>35</v>
      </c>
      <c r="CY100" s="13" t="s">
        <v>37</v>
      </c>
      <c r="CZ100" s="7"/>
      <c r="DA100" s="13" t="s">
        <v>31</v>
      </c>
      <c r="DB100" s="12" t="s">
        <v>32</v>
      </c>
      <c r="DC100" s="12" t="s">
        <v>35</v>
      </c>
      <c r="DD100" s="13" t="s">
        <v>37</v>
      </c>
      <c r="DE100" s="7"/>
      <c r="DF100" s="13" t="s">
        <v>31</v>
      </c>
      <c r="DG100" s="12" t="s">
        <v>32</v>
      </c>
      <c r="DH100" s="12" t="s">
        <v>35</v>
      </c>
      <c r="DI100" s="13" t="s">
        <v>37</v>
      </c>
      <c r="DJ100" s="7"/>
      <c r="DK100" s="13" t="s">
        <v>31</v>
      </c>
      <c r="DL100" s="12" t="s">
        <v>32</v>
      </c>
      <c r="DM100" s="12" t="s">
        <v>35</v>
      </c>
      <c r="DN100" s="13" t="s">
        <v>37</v>
      </c>
      <c r="DO100" s="7"/>
      <c r="DP100" s="13" t="s">
        <v>31</v>
      </c>
      <c r="DQ100" s="12" t="s">
        <v>32</v>
      </c>
      <c r="DR100" s="12" t="s">
        <v>35</v>
      </c>
      <c r="DS100" s="13" t="s">
        <v>37</v>
      </c>
      <c r="DT100" s="7"/>
      <c r="DU100" s="13" t="s">
        <v>31</v>
      </c>
      <c r="DV100" s="12" t="s">
        <v>32</v>
      </c>
      <c r="DW100" s="12" t="s">
        <v>35</v>
      </c>
      <c r="DX100" s="13" t="s">
        <v>37</v>
      </c>
    </row>
    <row r="101" spans="1:128" s="2" customFormat="1" x14ac:dyDescent="0.3">
      <c r="A101" s="56"/>
      <c r="B101" s="16" t="str">
        <f>E99</f>
        <v>KASIR</v>
      </c>
      <c r="C101" s="16">
        <f>H128</f>
        <v>0</v>
      </c>
      <c r="D101" s="17"/>
      <c r="E101" s="18" t="s">
        <v>38</v>
      </c>
      <c r="F101" s="17"/>
      <c r="G101" s="17">
        <v>50000</v>
      </c>
      <c r="H101" s="16">
        <f t="shared" ref="H101:H127" si="78">SUM(F101*G101)</f>
        <v>0</v>
      </c>
      <c r="I101" s="19"/>
      <c r="J101" s="16" t="s">
        <v>39</v>
      </c>
      <c r="K101" s="27"/>
      <c r="L101" s="16">
        <v>450</v>
      </c>
      <c r="M101" s="16">
        <f t="shared" ref="M101:M127" si="79">SUM(K101*L101)</f>
        <v>0</v>
      </c>
      <c r="N101" s="17"/>
      <c r="O101" s="20" t="s">
        <v>40</v>
      </c>
      <c r="P101" s="21"/>
      <c r="Q101" s="19">
        <v>2000</v>
      </c>
      <c r="R101" s="16">
        <f t="shared" ref="R101:R127" si="80">SUM(P101*Q101)</f>
        <v>0</v>
      </c>
      <c r="S101" s="20"/>
      <c r="T101" s="20" t="s">
        <v>39</v>
      </c>
      <c r="U101" s="20"/>
      <c r="V101" s="16">
        <v>450</v>
      </c>
      <c r="W101" s="16">
        <f t="shared" ref="W101:W127" si="81">SUM(U101*V101)</f>
        <v>0</v>
      </c>
      <c r="X101" s="16"/>
      <c r="Y101" s="16" t="s">
        <v>41</v>
      </c>
      <c r="Z101" s="16"/>
      <c r="AA101" s="16">
        <v>28000</v>
      </c>
      <c r="AB101" s="16">
        <f t="shared" ref="AB101:AB127" si="82">SUM(Z101*AA101)</f>
        <v>0</v>
      </c>
      <c r="AC101" s="20"/>
      <c r="AD101" s="20" t="s">
        <v>51</v>
      </c>
      <c r="AE101" s="20"/>
      <c r="AF101" s="16">
        <v>100</v>
      </c>
      <c r="AG101" s="16">
        <f t="shared" ref="AG101:AG127" si="83">SUM(AE101*AF101)</f>
        <v>0</v>
      </c>
      <c r="AH101" s="16"/>
      <c r="AI101" s="16" t="s">
        <v>43</v>
      </c>
      <c r="AJ101" s="22"/>
      <c r="AK101" s="19">
        <v>1550</v>
      </c>
      <c r="AL101" s="16">
        <f t="shared" ref="AL101:AL127" si="84">SUM(AJ101*AK101)</f>
        <v>0</v>
      </c>
      <c r="AM101" s="16"/>
      <c r="AN101" s="20" t="s">
        <v>44</v>
      </c>
      <c r="AO101" s="20"/>
      <c r="AP101" s="20">
        <v>8000</v>
      </c>
      <c r="AQ101" s="16">
        <f t="shared" ref="AQ101:AQ127" si="85">SUM(AO101*AP101)</f>
        <v>0</v>
      </c>
      <c r="AR101" s="16"/>
      <c r="AS101" s="16" t="s">
        <v>45</v>
      </c>
      <c r="AT101" s="16"/>
      <c r="AU101" s="16">
        <v>46500</v>
      </c>
      <c r="AV101" s="16">
        <f t="shared" ref="AV101:AV127" si="86">SUM(AT101*AU101)</f>
        <v>0</v>
      </c>
      <c r="AW101" s="16"/>
      <c r="AX101" s="16" t="s">
        <v>46</v>
      </c>
      <c r="AY101" s="16"/>
      <c r="AZ101" s="16">
        <v>14000</v>
      </c>
      <c r="BA101" s="16">
        <f t="shared" ref="BA101:BA127" si="87">SUM(AY101*AZ101)</f>
        <v>0</v>
      </c>
      <c r="BB101" s="20"/>
      <c r="BC101" s="20" t="s">
        <v>43</v>
      </c>
      <c r="BD101" s="17"/>
      <c r="BE101" s="17">
        <v>1550</v>
      </c>
      <c r="BF101" s="16">
        <f t="shared" ref="BF101:BF127" si="88">SUM(BD101*BE101)</f>
        <v>0</v>
      </c>
      <c r="BG101" s="20"/>
      <c r="BH101" s="20" t="s">
        <v>39</v>
      </c>
      <c r="BI101" s="20"/>
      <c r="BJ101" s="20">
        <v>450</v>
      </c>
      <c r="BK101" s="16">
        <f t="shared" ref="BK101:BK127" si="89">SUM(BI101*BJ101)</f>
        <v>0</v>
      </c>
      <c r="BL101" s="16"/>
      <c r="BM101" s="16" t="s">
        <v>39</v>
      </c>
      <c r="BN101" s="16"/>
      <c r="BO101" s="16">
        <v>450</v>
      </c>
      <c r="BP101" s="16">
        <f t="shared" ref="BP101:BP127" si="90">SUM(BN101*BO101)</f>
        <v>0</v>
      </c>
      <c r="BQ101" s="16"/>
      <c r="BR101" s="16" t="s">
        <v>46</v>
      </c>
      <c r="BS101" s="16"/>
      <c r="BT101" s="16">
        <v>11200</v>
      </c>
      <c r="BU101" s="16">
        <f t="shared" ref="BU101:BU127" si="91">SUM(BS101*BT101)</f>
        <v>0</v>
      </c>
      <c r="BV101" s="16"/>
      <c r="BW101" s="16" t="s">
        <v>48</v>
      </c>
      <c r="BX101" s="19"/>
      <c r="BY101" s="16">
        <v>99750</v>
      </c>
      <c r="BZ101" s="16">
        <f t="shared" ref="BZ101:BZ127" si="92">SUM(BX101*BY101)</f>
        <v>0</v>
      </c>
      <c r="CA101" s="16">
        <v>1</v>
      </c>
      <c r="CB101" s="16" t="s">
        <v>49</v>
      </c>
      <c r="CC101" s="16"/>
      <c r="CD101" s="16">
        <v>50000</v>
      </c>
      <c r="CE101" s="16">
        <f t="shared" ref="CE101:CE127" si="93">SUM(CC101*CD101)</f>
        <v>0</v>
      </c>
      <c r="CF101" s="16">
        <v>1</v>
      </c>
      <c r="CG101" s="16" t="s">
        <v>49</v>
      </c>
      <c r="CH101" s="16"/>
      <c r="CI101" s="23">
        <v>50000</v>
      </c>
      <c r="CJ101" s="23">
        <f t="shared" ref="CJ101:CJ127" si="94">SUM(CH101*CI101)</f>
        <v>0</v>
      </c>
      <c r="CK101" s="20"/>
      <c r="CL101" s="20" t="s">
        <v>43</v>
      </c>
      <c r="CM101" s="20"/>
      <c r="CN101" s="20">
        <v>1550</v>
      </c>
      <c r="CO101" s="23">
        <f t="shared" ref="CO101:CO127" si="95">SUM(CM101*CN101)</f>
        <v>0</v>
      </c>
      <c r="CP101" s="16"/>
      <c r="CQ101" s="16" t="s">
        <v>42</v>
      </c>
      <c r="CR101" s="16"/>
      <c r="CS101" s="16">
        <v>50000</v>
      </c>
      <c r="CT101" s="23">
        <f t="shared" ref="CT101:CT127" si="96">SUM(CR101*CS101)</f>
        <v>0</v>
      </c>
      <c r="CU101" s="20"/>
      <c r="CV101" s="20" t="s">
        <v>332</v>
      </c>
      <c r="CW101" s="20"/>
      <c r="CX101" s="20">
        <v>1000</v>
      </c>
      <c r="CY101" s="23">
        <f t="shared" ref="CY101:CY127" si="97">SUM(CW101*CX101)</f>
        <v>0</v>
      </c>
      <c r="CZ101" s="20"/>
      <c r="DA101" s="20" t="s">
        <v>55</v>
      </c>
      <c r="DB101" s="20"/>
      <c r="DC101" s="20">
        <v>1000</v>
      </c>
      <c r="DD101" s="23">
        <f t="shared" ref="DD101:DD127" si="98">SUM(DB101*DC101)</f>
        <v>0</v>
      </c>
      <c r="DE101" s="16">
        <v>1</v>
      </c>
      <c r="DF101" s="16" t="s">
        <v>417</v>
      </c>
      <c r="DG101" s="16"/>
      <c r="DH101" s="16">
        <v>50000</v>
      </c>
      <c r="DI101" s="16">
        <f t="shared" ref="DI101:DI107" si="99">SUM(DG101*DH101)</f>
        <v>0</v>
      </c>
      <c r="DJ101" s="20"/>
      <c r="DK101" s="20" t="s">
        <v>53</v>
      </c>
      <c r="DL101" s="20"/>
      <c r="DM101" s="20">
        <v>1000</v>
      </c>
      <c r="DN101" s="16">
        <f t="shared" ref="DN101:DN127" si="100">SUM(DL101*DM101)</f>
        <v>0</v>
      </c>
      <c r="DO101" s="20"/>
      <c r="DP101" s="20" t="s">
        <v>51</v>
      </c>
      <c r="DQ101" s="20"/>
      <c r="DR101" s="20">
        <v>100</v>
      </c>
      <c r="DS101" s="16">
        <f t="shared" ref="DS101:DS127" si="101">SUM(DQ101*DR101)</f>
        <v>0</v>
      </c>
      <c r="DT101" s="20"/>
      <c r="DU101" s="20" t="s">
        <v>508</v>
      </c>
      <c r="DV101" s="20"/>
      <c r="DW101" s="20">
        <v>250</v>
      </c>
      <c r="DX101" s="24">
        <f t="shared" ref="DX101:DX127" si="102">DW101*DV101</f>
        <v>0</v>
      </c>
    </row>
    <row r="102" spans="1:128" s="2" customFormat="1" x14ac:dyDescent="0.3">
      <c r="A102" s="20"/>
      <c r="B102" s="16" t="str">
        <f>J99</f>
        <v>IGD</v>
      </c>
      <c r="C102" s="16">
        <f>M128</f>
        <v>0</v>
      </c>
      <c r="D102" s="17"/>
      <c r="E102" s="20" t="s">
        <v>56</v>
      </c>
      <c r="F102" s="17"/>
      <c r="G102" s="17">
        <v>46500</v>
      </c>
      <c r="H102" s="16">
        <f t="shared" si="78"/>
        <v>0</v>
      </c>
      <c r="I102" s="19"/>
      <c r="J102" s="16" t="s">
        <v>297</v>
      </c>
      <c r="K102" s="27"/>
      <c r="L102" s="19">
        <v>350</v>
      </c>
      <c r="M102" s="16">
        <f t="shared" si="79"/>
        <v>0</v>
      </c>
      <c r="N102" s="17"/>
      <c r="O102" s="20" t="s">
        <v>58</v>
      </c>
      <c r="P102" s="21"/>
      <c r="Q102" s="19">
        <v>82000</v>
      </c>
      <c r="R102" s="16">
        <f t="shared" si="80"/>
        <v>0</v>
      </c>
      <c r="S102" s="20"/>
      <c r="T102" s="20" t="s">
        <v>59</v>
      </c>
      <c r="U102" s="20"/>
      <c r="V102" s="20">
        <v>350</v>
      </c>
      <c r="W102" s="16">
        <f t="shared" si="81"/>
        <v>0</v>
      </c>
      <c r="X102" s="16"/>
      <c r="Y102" s="16" t="s">
        <v>60</v>
      </c>
      <c r="Z102" s="16"/>
      <c r="AA102" s="16">
        <v>39000</v>
      </c>
      <c r="AB102" s="16">
        <f t="shared" si="82"/>
        <v>0</v>
      </c>
      <c r="AC102" s="20"/>
      <c r="AD102" s="20" t="s">
        <v>312</v>
      </c>
      <c r="AE102" s="20"/>
      <c r="AF102" s="16">
        <v>12000</v>
      </c>
      <c r="AG102" s="16">
        <f t="shared" si="83"/>
        <v>0</v>
      </c>
      <c r="AH102" s="16"/>
      <c r="AI102" s="16" t="s">
        <v>152</v>
      </c>
      <c r="AJ102" s="22"/>
      <c r="AK102" s="19">
        <v>3500</v>
      </c>
      <c r="AL102" s="16">
        <f t="shared" si="84"/>
        <v>0</v>
      </c>
      <c r="AM102" s="16"/>
      <c r="AN102" s="20" t="s">
        <v>63</v>
      </c>
      <c r="AO102" s="20"/>
      <c r="AP102" s="20">
        <v>5500</v>
      </c>
      <c r="AQ102" s="16">
        <f t="shared" si="85"/>
        <v>0</v>
      </c>
      <c r="AR102" s="16"/>
      <c r="AS102" s="16" t="s">
        <v>42</v>
      </c>
      <c r="AT102" s="16"/>
      <c r="AU102" s="16">
        <v>50000</v>
      </c>
      <c r="AV102" s="16">
        <f t="shared" si="86"/>
        <v>0</v>
      </c>
      <c r="AW102" s="16"/>
      <c r="AX102" s="16" t="s">
        <v>64</v>
      </c>
      <c r="AY102" s="16"/>
      <c r="AZ102" s="16">
        <v>5000</v>
      </c>
      <c r="BA102" s="16">
        <f t="shared" si="87"/>
        <v>0</v>
      </c>
      <c r="BB102" s="20"/>
      <c r="BC102" s="20" t="s">
        <v>65</v>
      </c>
      <c r="BD102" s="17"/>
      <c r="BE102" s="17">
        <v>950</v>
      </c>
      <c r="BF102" s="16">
        <f t="shared" si="88"/>
        <v>0</v>
      </c>
      <c r="BG102" s="20"/>
      <c r="BH102" s="20" t="s">
        <v>59</v>
      </c>
      <c r="BI102" s="20"/>
      <c r="BJ102" s="20">
        <v>350</v>
      </c>
      <c r="BK102" s="16">
        <f t="shared" si="89"/>
        <v>0</v>
      </c>
      <c r="BL102" s="16"/>
      <c r="BM102" s="16" t="s">
        <v>59</v>
      </c>
      <c r="BN102" s="16"/>
      <c r="BO102" s="16">
        <v>350</v>
      </c>
      <c r="BP102" s="16">
        <f t="shared" si="90"/>
        <v>0</v>
      </c>
      <c r="BQ102" s="16"/>
      <c r="BR102" s="16" t="s">
        <v>41</v>
      </c>
      <c r="BS102" s="16"/>
      <c r="BT102" s="16">
        <v>28000</v>
      </c>
      <c r="BU102" s="16">
        <f t="shared" si="91"/>
        <v>0</v>
      </c>
      <c r="BV102" s="16"/>
      <c r="BW102" s="25" t="s">
        <v>66</v>
      </c>
      <c r="BX102" s="25"/>
      <c r="BY102" s="25">
        <v>102600</v>
      </c>
      <c r="BZ102" s="16">
        <f t="shared" si="92"/>
        <v>0</v>
      </c>
      <c r="CA102" s="16"/>
      <c r="CB102" s="16" t="s">
        <v>303</v>
      </c>
      <c r="CC102" s="16"/>
      <c r="CD102" s="16">
        <v>10000</v>
      </c>
      <c r="CE102" s="16">
        <f t="shared" si="93"/>
        <v>0</v>
      </c>
      <c r="CF102" s="16">
        <v>2</v>
      </c>
      <c r="CG102" s="16" t="s">
        <v>45</v>
      </c>
      <c r="CH102" s="16"/>
      <c r="CI102" s="23">
        <v>46500</v>
      </c>
      <c r="CJ102" s="23">
        <f t="shared" si="94"/>
        <v>0</v>
      </c>
      <c r="CK102" s="20"/>
      <c r="CL102" s="20" t="s">
        <v>65</v>
      </c>
      <c r="CM102" s="20"/>
      <c r="CN102" s="20">
        <v>950</v>
      </c>
      <c r="CO102" s="23">
        <f t="shared" si="95"/>
        <v>0</v>
      </c>
      <c r="CP102" s="16"/>
      <c r="CQ102" s="16" t="s">
        <v>509</v>
      </c>
      <c r="CR102" s="16"/>
      <c r="CS102" s="16">
        <v>71000</v>
      </c>
      <c r="CT102" s="23">
        <f t="shared" si="96"/>
        <v>0</v>
      </c>
      <c r="CU102" s="20"/>
      <c r="CV102" s="20" t="s">
        <v>254</v>
      </c>
      <c r="CW102" s="20"/>
      <c r="CX102" s="20">
        <v>5000</v>
      </c>
      <c r="CY102" s="23">
        <f t="shared" si="97"/>
        <v>0</v>
      </c>
      <c r="CZ102" s="20"/>
      <c r="DA102" s="20" t="s">
        <v>510</v>
      </c>
      <c r="DB102" s="20"/>
      <c r="DC102" s="20">
        <v>250</v>
      </c>
      <c r="DD102" s="23">
        <f t="shared" si="98"/>
        <v>0</v>
      </c>
      <c r="DE102" s="16">
        <v>2</v>
      </c>
      <c r="DF102" s="16" t="s">
        <v>65</v>
      </c>
      <c r="DG102" s="16"/>
      <c r="DH102" s="16">
        <v>950</v>
      </c>
      <c r="DI102" s="16">
        <f t="shared" si="99"/>
        <v>0</v>
      </c>
      <c r="DJ102" s="20"/>
      <c r="DK102" s="20" t="s">
        <v>69</v>
      </c>
      <c r="DL102" s="20"/>
      <c r="DM102" s="20">
        <v>1000</v>
      </c>
      <c r="DN102" s="16">
        <f t="shared" si="100"/>
        <v>0</v>
      </c>
      <c r="DO102" s="20"/>
      <c r="DP102" s="20" t="s">
        <v>68</v>
      </c>
      <c r="DQ102" s="20"/>
      <c r="DR102" s="20">
        <v>9000</v>
      </c>
      <c r="DS102" s="16">
        <f t="shared" si="101"/>
        <v>0</v>
      </c>
      <c r="DT102" s="20"/>
      <c r="DU102" s="20" t="s">
        <v>511</v>
      </c>
      <c r="DV102" s="20"/>
      <c r="DW102" s="20">
        <v>250</v>
      </c>
      <c r="DX102" s="24">
        <f t="shared" si="102"/>
        <v>0</v>
      </c>
    </row>
    <row r="103" spans="1:128" s="2" customFormat="1" x14ac:dyDescent="0.3">
      <c r="A103" s="20"/>
      <c r="B103" s="16" t="str">
        <f>O99</f>
        <v xml:space="preserve">PENDAFTARAN </v>
      </c>
      <c r="C103" s="16">
        <f>R128</f>
        <v>0</v>
      </c>
      <c r="D103" s="17"/>
      <c r="E103" s="20" t="s">
        <v>72</v>
      </c>
      <c r="F103" s="17"/>
      <c r="G103" s="17">
        <v>20000</v>
      </c>
      <c r="H103" s="16">
        <f t="shared" si="78"/>
        <v>0</v>
      </c>
      <c r="I103" s="19"/>
      <c r="J103" s="16" t="s">
        <v>43</v>
      </c>
      <c r="K103" s="27"/>
      <c r="L103" s="19">
        <v>1550</v>
      </c>
      <c r="M103" s="16">
        <f t="shared" si="79"/>
        <v>0</v>
      </c>
      <c r="N103" s="17"/>
      <c r="O103" s="16" t="s">
        <v>62</v>
      </c>
      <c r="P103" s="16"/>
      <c r="Q103" s="16">
        <v>7000</v>
      </c>
      <c r="R103" s="16">
        <f t="shared" si="80"/>
        <v>0</v>
      </c>
      <c r="S103" s="20"/>
      <c r="T103" s="20" t="s">
        <v>74</v>
      </c>
      <c r="U103" s="20"/>
      <c r="V103" s="20">
        <v>3300</v>
      </c>
      <c r="W103" s="16">
        <f t="shared" si="81"/>
        <v>0</v>
      </c>
      <c r="X103" s="16"/>
      <c r="Y103" s="16" t="s">
        <v>69</v>
      </c>
      <c r="Z103" s="16"/>
      <c r="AA103" s="16">
        <v>82000</v>
      </c>
      <c r="AB103" s="16">
        <f t="shared" si="82"/>
        <v>0</v>
      </c>
      <c r="AC103" s="20"/>
      <c r="AD103" s="20" t="s">
        <v>512</v>
      </c>
      <c r="AE103" s="20"/>
      <c r="AF103" s="16">
        <v>11000</v>
      </c>
      <c r="AG103" s="16">
        <f t="shared" si="83"/>
        <v>0</v>
      </c>
      <c r="AH103" s="16"/>
      <c r="AI103" s="20" t="s">
        <v>76</v>
      </c>
      <c r="AJ103" s="17"/>
      <c r="AK103" s="24">
        <v>26500</v>
      </c>
      <c r="AL103" s="16">
        <f t="shared" si="84"/>
        <v>0</v>
      </c>
      <c r="AM103" s="16"/>
      <c r="AN103" s="20" t="s">
        <v>77</v>
      </c>
      <c r="AO103" s="20"/>
      <c r="AP103" s="20">
        <v>17000</v>
      </c>
      <c r="AQ103" s="16">
        <f t="shared" si="85"/>
        <v>0</v>
      </c>
      <c r="AR103" s="16"/>
      <c r="AS103" s="20" t="s">
        <v>39</v>
      </c>
      <c r="AT103" s="20"/>
      <c r="AU103" s="20">
        <v>450</v>
      </c>
      <c r="AV103" s="16">
        <f t="shared" si="86"/>
        <v>0</v>
      </c>
      <c r="AW103" s="16"/>
      <c r="AX103" s="16" t="s">
        <v>41</v>
      </c>
      <c r="AY103" s="16"/>
      <c r="AZ103" s="16">
        <v>28000</v>
      </c>
      <c r="BA103" s="16">
        <f t="shared" si="87"/>
        <v>0</v>
      </c>
      <c r="BB103" s="20"/>
      <c r="BC103" s="20" t="s">
        <v>513</v>
      </c>
      <c r="BD103" s="17"/>
      <c r="BE103" s="17">
        <v>250</v>
      </c>
      <c r="BF103" s="16">
        <f t="shared" si="88"/>
        <v>0</v>
      </c>
      <c r="BG103" s="20"/>
      <c r="BH103" s="20" t="s">
        <v>79</v>
      </c>
      <c r="BI103" s="20"/>
      <c r="BJ103" s="20">
        <v>3300</v>
      </c>
      <c r="BK103" s="16">
        <f t="shared" si="89"/>
        <v>0</v>
      </c>
      <c r="BL103" s="16"/>
      <c r="BM103" s="16" t="s">
        <v>79</v>
      </c>
      <c r="BN103" s="16"/>
      <c r="BO103" s="16">
        <v>3300</v>
      </c>
      <c r="BP103" s="16">
        <f t="shared" si="90"/>
        <v>0</v>
      </c>
      <c r="BQ103" s="16"/>
      <c r="BR103" s="16" t="s">
        <v>60</v>
      </c>
      <c r="BS103" s="16"/>
      <c r="BT103" s="16">
        <v>39000</v>
      </c>
      <c r="BU103" s="16">
        <f t="shared" si="91"/>
        <v>0</v>
      </c>
      <c r="BV103" s="16"/>
      <c r="BW103" s="20" t="s">
        <v>68</v>
      </c>
      <c r="BX103" s="20"/>
      <c r="BY103" s="20">
        <v>9000</v>
      </c>
      <c r="BZ103" s="16">
        <f t="shared" si="92"/>
        <v>0</v>
      </c>
      <c r="CA103" s="16"/>
      <c r="CB103" s="16" t="s">
        <v>43</v>
      </c>
      <c r="CC103" s="16"/>
      <c r="CD103" s="16">
        <v>1550</v>
      </c>
      <c r="CE103" s="16">
        <f t="shared" si="93"/>
        <v>0</v>
      </c>
      <c r="CF103" s="16"/>
      <c r="CG103" s="16" t="s">
        <v>514</v>
      </c>
      <c r="CH103" s="16"/>
      <c r="CI103" s="23">
        <v>15000</v>
      </c>
      <c r="CJ103" s="23">
        <f t="shared" si="94"/>
        <v>0</v>
      </c>
      <c r="CK103" s="20"/>
      <c r="CL103" s="20" t="s">
        <v>443</v>
      </c>
      <c r="CM103" s="20"/>
      <c r="CN103" s="20">
        <v>30000</v>
      </c>
      <c r="CO103" s="23">
        <f t="shared" si="95"/>
        <v>0</v>
      </c>
      <c r="CP103" s="16"/>
      <c r="CQ103" s="16" t="s">
        <v>152</v>
      </c>
      <c r="CR103" s="16"/>
      <c r="CS103" s="16">
        <v>3000</v>
      </c>
      <c r="CT103" s="23">
        <f t="shared" si="96"/>
        <v>0</v>
      </c>
      <c r="CU103" s="20"/>
      <c r="CV103" s="20" t="s">
        <v>296</v>
      </c>
      <c r="CW103" s="20"/>
      <c r="CX103" s="20">
        <v>100</v>
      </c>
      <c r="CY103" s="23">
        <f t="shared" si="97"/>
        <v>0</v>
      </c>
      <c r="CZ103" s="20"/>
      <c r="DA103" s="20" t="s">
        <v>467</v>
      </c>
      <c r="DB103" s="20"/>
      <c r="DC103" s="20">
        <v>250</v>
      </c>
      <c r="DD103" s="23">
        <f t="shared" si="98"/>
        <v>0</v>
      </c>
      <c r="DE103" s="16"/>
      <c r="DF103" s="16" t="s">
        <v>57</v>
      </c>
      <c r="DG103" s="16"/>
      <c r="DH103" s="16">
        <v>4000</v>
      </c>
      <c r="DI103" s="16">
        <f t="shared" si="99"/>
        <v>0</v>
      </c>
      <c r="DJ103" s="20"/>
      <c r="DK103" s="16" t="s">
        <v>84</v>
      </c>
      <c r="DL103" s="16"/>
      <c r="DM103" s="16">
        <v>100</v>
      </c>
      <c r="DN103" s="16">
        <f t="shared" si="100"/>
        <v>0</v>
      </c>
      <c r="DO103" s="20"/>
      <c r="DP103" s="20" t="s">
        <v>57</v>
      </c>
      <c r="DQ103" s="20"/>
      <c r="DR103" s="20">
        <v>4000</v>
      </c>
      <c r="DS103" s="16">
        <f t="shared" si="101"/>
        <v>0</v>
      </c>
      <c r="DT103" s="20"/>
      <c r="DU103" s="20" t="s">
        <v>515</v>
      </c>
      <c r="DV103" s="20"/>
      <c r="DW103" s="20">
        <v>250</v>
      </c>
      <c r="DX103" s="24">
        <f t="shared" si="102"/>
        <v>0</v>
      </c>
    </row>
    <row r="104" spans="1:128" s="2" customFormat="1" x14ac:dyDescent="0.3">
      <c r="A104" s="20"/>
      <c r="B104" s="16" t="str">
        <f>T99</f>
        <v>MADINAH 2</v>
      </c>
      <c r="C104" s="16">
        <f>W128</f>
        <v>0</v>
      </c>
      <c r="D104" s="17"/>
      <c r="E104" s="20" t="s">
        <v>43</v>
      </c>
      <c r="F104" s="17"/>
      <c r="G104" s="17">
        <v>1550</v>
      </c>
      <c r="H104" s="16">
        <f t="shared" si="78"/>
        <v>0</v>
      </c>
      <c r="I104" s="19"/>
      <c r="J104" s="16" t="s">
        <v>65</v>
      </c>
      <c r="K104" s="27"/>
      <c r="L104" s="19">
        <v>950</v>
      </c>
      <c r="M104" s="16">
        <f t="shared" si="79"/>
        <v>0</v>
      </c>
      <c r="N104" s="17"/>
      <c r="O104" s="20" t="s">
        <v>43</v>
      </c>
      <c r="P104" s="21"/>
      <c r="Q104" s="19">
        <v>1550</v>
      </c>
      <c r="R104" s="16">
        <f t="shared" si="80"/>
        <v>0</v>
      </c>
      <c r="S104" s="20"/>
      <c r="T104" s="20" t="s">
        <v>86</v>
      </c>
      <c r="U104" s="20"/>
      <c r="V104" s="20">
        <v>2500</v>
      </c>
      <c r="W104" s="16">
        <f t="shared" si="81"/>
        <v>0</v>
      </c>
      <c r="X104" s="16"/>
      <c r="Y104" s="16" t="s">
        <v>53</v>
      </c>
      <c r="Z104" s="16"/>
      <c r="AA104" s="16">
        <v>93000</v>
      </c>
      <c r="AB104" s="16">
        <f t="shared" si="82"/>
        <v>0</v>
      </c>
      <c r="AC104" s="20"/>
      <c r="AD104" s="20" t="s">
        <v>87</v>
      </c>
      <c r="AE104" s="20"/>
      <c r="AF104" s="16">
        <v>1550</v>
      </c>
      <c r="AG104" s="16">
        <f t="shared" si="83"/>
        <v>0</v>
      </c>
      <c r="AH104" s="16"/>
      <c r="AI104" s="16" t="s">
        <v>65</v>
      </c>
      <c r="AJ104" s="22"/>
      <c r="AK104" s="19">
        <v>950</v>
      </c>
      <c r="AL104" s="16">
        <f t="shared" si="84"/>
        <v>0</v>
      </c>
      <c r="AM104" s="16"/>
      <c r="AN104" s="16" t="s">
        <v>45</v>
      </c>
      <c r="AO104" s="16"/>
      <c r="AP104" s="16">
        <v>46500</v>
      </c>
      <c r="AQ104" s="16">
        <f t="shared" si="85"/>
        <v>0</v>
      </c>
      <c r="AR104" s="16"/>
      <c r="AS104" s="20" t="s">
        <v>264</v>
      </c>
      <c r="AT104" s="20"/>
      <c r="AU104" s="20">
        <v>5000</v>
      </c>
      <c r="AV104" s="16">
        <f t="shared" si="86"/>
        <v>0</v>
      </c>
      <c r="AW104" s="16"/>
      <c r="AX104" s="16" t="s">
        <v>60</v>
      </c>
      <c r="AY104" s="16"/>
      <c r="AZ104" s="16">
        <v>39000</v>
      </c>
      <c r="BA104" s="16">
        <f t="shared" si="87"/>
        <v>0</v>
      </c>
      <c r="BB104" s="20"/>
      <c r="BC104" s="20" t="s">
        <v>211</v>
      </c>
      <c r="BD104" s="17"/>
      <c r="BE104" s="17">
        <v>250</v>
      </c>
      <c r="BF104" s="16">
        <f t="shared" si="88"/>
        <v>0</v>
      </c>
      <c r="BG104" s="20"/>
      <c r="BH104" s="20" t="s">
        <v>89</v>
      </c>
      <c r="BI104" s="47"/>
      <c r="BJ104" s="20">
        <v>2500</v>
      </c>
      <c r="BK104" s="16">
        <f t="shared" si="89"/>
        <v>0</v>
      </c>
      <c r="BL104" s="16"/>
      <c r="BM104" s="16" t="s">
        <v>89</v>
      </c>
      <c r="BN104" s="16"/>
      <c r="BO104" s="16">
        <v>2500</v>
      </c>
      <c r="BP104" s="16">
        <f t="shared" si="90"/>
        <v>0</v>
      </c>
      <c r="BQ104" s="16"/>
      <c r="BR104" s="16" t="s">
        <v>69</v>
      </c>
      <c r="BS104" s="16"/>
      <c r="BT104" s="16">
        <v>92000</v>
      </c>
      <c r="BU104" s="16">
        <f t="shared" si="91"/>
        <v>0</v>
      </c>
      <c r="BV104" s="16"/>
      <c r="BW104" s="20" t="s">
        <v>90</v>
      </c>
      <c r="BX104" s="20"/>
      <c r="BY104" s="20">
        <v>7000</v>
      </c>
      <c r="BZ104" s="16">
        <f t="shared" si="92"/>
        <v>0</v>
      </c>
      <c r="CA104" s="16"/>
      <c r="CB104" s="16" t="s">
        <v>57</v>
      </c>
      <c r="CC104" s="16"/>
      <c r="CD104" s="16">
        <v>4000</v>
      </c>
      <c r="CE104" s="16">
        <f t="shared" si="93"/>
        <v>0</v>
      </c>
      <c r="CF104" s="16"/>
      <c r="CG104" s="16" t="s">
        <v>43</v>
      </c>
      <c r="CH104" s="16"/>
      <c r="CI104" s="23">
        <v>1550</v>
      </c>
      <c r="CJ104" s="23">
        <f t="shared" si="94"/>
        <v>0</v>
      </c>
      <c r="CK104" s="20"/>
      <c r="CL104" s="20" t="s">
        <v>129</v>
      </c>
      <c r="CM104" s="20"/>
      <c r="CN104" s="20">
        <v>5000</v>
      </c>
      <c r="CO104" s="23">
        <f t="shared" si="95"/>
        <v>0</v>
      </c>
      <c r="CP104" s="16"/>
      <c r="CQ104" s="16" t="s">
        <v>297</v>
      </c>
      <c r="CR104" s="16"/>
      <c r="CS104" s="19">
        <v>350</v>
      </c>
      <c r="CT104" s="23">
        <f t="shared" si="96"/>
        <v>0</v>
      </c>
      <c r="CU104" s="20"/>
      <c r="CV104" s="20" t="s">
        <v>516</v>
      </c>
      <c r="CW104" s="20"/>
      <c r="CX104" s="20">
        <v>15000</v>
      </c>
      <c r="CY104" s="23">
        <f t="shared" si="97"/>
        <v>0</v>
      </c>
      <c r="CZ104" s="20"/>
      <c r="DA104" s="20" t="s">
        <v>183</v>
      </c>
      <c r="DB104" s="20"/>
      <c r="DC104" s="20">
        <v>250</v>
      </c>
      <c r="DD104" s="23">
        <f t="shared" si="98"/>
        <v>0</v>
      </c>
      <c r="DE104" s="16"/>
      <c r="DF104" s="16" t="s">
        <v>92</v>
      </c>
      <c r="DG104" s="16"/>
      <c r="DH104" s="16">
        <v>4000</v>
      </c>
      <c r="DI104" s="16">
        <f t="shared" si="99"/>
        <v>0</v>
      </c>
      <c r="DJ104" s="20"/>
      <c r="DK104" s="20" t="s">
        <v>136</v>
      </c>
      <c r="DL104" s="20"/>
      <c r="DM104" s="20">
        <v>250</v>
      </c>
      <c r="DN104" s="16">
        <f t="shared" si="100"/>
        <v>0</v>
      </c>
      <c r="DO104" s="20"/>
      <c r="DP104" s="20" t="s">
        <v>54</v>
      </c>
      <c r="DQ104" s="20"/>
      <c r="DR104" s="20">
        <v>450</v>
      </c>
      <c r="DS104" s="16">
        <f t="shared" si="101"/>
        <v>0</v>
      </c>
      <c r="DT104" s="20"/>
      <c r="DU104" s="16" t="s">
        <v>105</v>
      </c>
      <c r="DV104" s="27"/>
      <c r="DW104" s="19">
        <v>700</v>
      </c>
      <c r="DX104" s="24">
        <f t="shared" si="102"/>
        <v>0</v>
      </c>
    </row>
    <row r="105" spans="1:128" s="2" customFormat="1" x14ac:dyDescent="0.3">
      <c r="A105" s="20"/>
      <c r="B105" s="16" t="str">
        <f>Y99</f>
        <v>PPI</v>
      </c>
      <c r="C105" s="16">
        <f>AB128</f>
        <v>0</v>
      </c>
      <c r="D105" s="17"/>
      <c r="E105" s="20" t="s">
        <v>65</v>
      </c>
      <c r="F105" s="17"/>
      <c r="G105" s="17">
        <v>950</v>
      </c>
      <c r="H105" s="16">
        <f t="shared" si="78"/>
        <v>0</v>
      </c>
      <c r="I105" s="19"/>
      <c r="J105" s="16" t="s">
        <v>188</v>
      </c>
      <c r="K105" s="27"/>
      <c r="L105" s="19">
        <v>250</v>
      </c>
      <c r="M105" s="16">
        <f t="shared" si="79"/>
        <v>0</v>
      </c>
      <c r="N105" s="17"/>
      <c r="O105" s="16" t="s">
        <v>84</v>
      </c>
      <c r="P105" s="16"/>
      <c r="Q105" s="16">
        <v>100</v>
      </c>
      <c r="R105" s="16">
        <f t="shared" si="80"/>
        <v>0</v>
      </c>
      <c r="S105" s="20"/>
      <c r="T105" s="20" t="s">
        <v>43</v>
      </c>
      <c r="U105" s="20"/>
      <c r="V105" s="20">
        <v>1550</v>
      </c>
      <c r="W105" s="16">
        <f t="shared" si="81"/>
        <v>0</v>
      </c>
      <c r="X105" s="16"/>
      <c r="Y105" s="16" t="s">
        <v>68</v>
      </c>
      <c r="Z105" s="16"/>
      <c r="AA105" s="16">
        <v>9000</v>
      </c>
      <c r="AB105" s="16">
        <f t="shared" si="82"/>
        <v>0</v>
      </c>
      <c r="AC105" s="20"/>
      <c r="AD105" s="20" t="s">
        <v>65</v>
      </c>
      <c r="AE105" s="20"/>
      <c r="AF105" s="16">
        <v>950</v>
      </c>
      <c r="AG105" s="16">
        <f t="shared" si="83"/>
        <v>0</v>
      </c>
      <c r="AH105" s="16"/>
      <c r="AI105" s="16" t="s">
        <v>197</v>
      </c>
      <c r="AJ105" s="22"/>
      <c r="AK105" s="19">
        <v>15000</v>
      </c>
      <c r="AL105" s="16">
        <f t="shared" si="84"/>
        <v>0</v>
      </c>
      <c r="AM105" s="16"/>
      <c r="AN105" s="16" t="s">
        <v>68</v>
      </c>
      <c r="AO105" s="16"/>
      <c r="AP105" s="16">
        <v>9000</v>
      </c>
      <c r="AQ105" s="16">
        <f t="shared" si="85"/>
        <v>0</v>
      </c>
      <c r="AR105" s="16"/>
      <c r="AS105" s="16" t="s">
        <v>65</v>
      </c>
      <c r="AT105" s="16"/>
      <c r="AU105" s="16">
        <v>950</v>
      </c>
      <c r="AV105" s="16">
        <f t="shared" si="86"/>
        <v>0</v>
      </c>
      <c r="AW105" s="16"/>
      <c r="AX105" s="16" t="s">
        <v>68</v>
      </c>
      <c r="AY105" s="16"/>
      <c r="AZ105" s="16">
        <v>9000</v>
      </c>
      <c r="BA105" s="16">
        <f t="shared" si="87"/>
        <v>0</v>
      </c>
      <c r="BB105" s="20"/>
      <c r="BC105" s="20" t="s">
        <v>517</v>
      </c>
      <c r="BD105" s="17"/>
      <c r="BE105" s="17">
        <v>250</v>
      </c>
      <c r="BF105" s="16">
        <f t="shared" si="88"/>
        <v>0</v>
      </c>
      <c r="BG105" s="20"/>
      <c r="BH105" s="20" t="s">
        <v>87</v>
      </c>
      <c r="BI105" s="20"/>
      <c r="BJ105" s="20">
        <v>1550</v>
      </c>
      <c r="BK105" s="16">
        <f t="shared" si="89"/>
        <v>0</v>
      </c>
      <c r="BL105" s="16"/>
      <c r="BM105" s="16" t="s">
        <v>43</v>
      </c>
      <c r="BN105" s="16"/>
      <c r="BO105" s="16">
        <v>1550</v>
      </c>
      <c r="BP105" s="16">
        <f t="shared" si="90"/>
        <v>0</v>
      </c>
      <c r="BQ105" s="16"/>
      <c r="BR105" s="16" t="s">
        <v>53</v>
      </c>
      <c r="BS105" s="16"/>
      <c r="BT105" s="16">
        <v>100000</v>
      </c>
      <c r="BU105" s="16">
        <f t="shared" si="91"/>
        <v>0</v>
      </c>
      <c r="BV105" s="16"/>
      <c r="BW105" s="20" t="s">
        <v>99</v>
      </c>
      <c r="BX105" s="20"/>
      <c r="BY105" s="20">
        <v>145000</v>
      </c>
      <c r="BZ105" s="16">
        <f t="shared" si="92"/>
        <v>0</v>
      </c>
      <c r="CA105" s="16"/>
      <c r="CB105" s="20" t="s">
        <v>65</v>
      </c>
      <c r="CC105" s="20"/>
      <c r="CD105" s="20">
        <v>950</v>
      </c>
      <c r="CE105" s="16">
        <f t="shared" si="93"/>
        <v>0</v>
      </c>
      <c r="CF105" s="16"/>
      <c r="CG105" s="16" t="s">
        <v>50</v>
      </c>
      <c r="CH105" s="16"/>
      <c r="CI105" s="23">
        <v>26500</v>
      </c>
      <c r="CJ105" s="23">
        <f t="shared" si="94"/>
        <v>0</v>
      </c>
      <c r="CK105" s="20"/>
      <c r="CL105" s="20" t="s">
        <v>307</v>
      </c>
      <c r="CM105" s="20"/>
      <c r="CN105" s="20">
        <v>500</v>
      </c>
      <c r="CO105" s="23">
        <f t="shared" si="95"/>
        <v>0</v>
      </c>
      <c r="CP105" s="16"/>
      <c r="CQ105" s="16" t="s">
        <v>87</v>
      </c>
      <c r="CR105" s="16"/>
      <c r="CS105" s="16">
        <v>1550</v>
      </c>
      <c r="CT105" s="23">
        <f t="shared" si="96"/>
        <v>0</v>
      </c>
      <c r="CU105" s="20"/>
      <c r="CV105" s="20" t="s">
        <v>88</v>
      </c>
      <c r="CW105" s="20"/>
      <c r="CX105" s="20">
        <v>350</v>
      </c>
      <c r="CY105" s="23">
        <f t="shared" si="97"/>
        <v>0</v>
      </c>
      <c r="CZ105" s="20"/>
      <c r="DA105" s="20" t="s">
        <v>65</v>
      </c>
      <c r="DB105" s="20"/>
      <c r="DC105" s="20">
        <v>950</v>
      </c>
      <c r="DD105" s="23">
        <f t="shared" si="98"/>
        <v>0</v>
      </c>
      <c r="DE105" s="16"/>
      <c r="DF105" s="16" t="s">
        <v>103</v>
      </c>
      <c r="DG105" s="16"/>
      <c r="DH105" s="16">
        <v>8500</v>
      </c>
      <c r="DI105" s="16">
        <f t="shared" si="99"/>
        <v>0</v>
      </c>
      <c r="DJ105" s="20"/>
      <c r="DK105" s="20" t="s">
        <v>518</v>
      </c>
      <c r="DL105" s="20"/>
      <c r="DM105" s="20">
        <v>250</v>
      </c>
      <c r="DN105" s="16">
        <f t="shared" si="100"/>
        <v>0</v>
      </c>
      <c r="DO105" s="20"/>
      <c r="DP105" s="20" t="s">
        <v>70</v>
      </c>
      <c r="DQ105" s="20"/>
      <c r="DR105" s="20">
        <v>350</v>
      </c>
      <c r="DS105" s="16">
        <f t="shared" si="101"/>
        <v>0</v>
      </c>
      <c r="DT105" s="20"/>
      <c r="DU105" s="20" t="s">
        <v>326</v>
      </c>
      <c r="DV105" s="20"/>
      <c r="DW105" s="20">
        <v>250</v>
      </c>
      <c r="DX105" s="24">
        <f t="shared" si="102"/>
        <v>0</v>
      </c>
    </row>
    <row r="106" spans="1:128" s="2" customFormat="1" x14ac:dyDescent="0.3">
      <c r="A106" s="20"/>
      <c r="B106" s="16" t="str">
        <f>AD99</f>
        <v>FARMASI</v>
      </c>
      <c r="C106" s="16">
        <f>AG128</f>
        <v>0</v>
      </c>
      <c r="D106" s="17"/>
      <c r="E106" s="20" t="s">
        <v>106</v>
      </c>
      <c r="F106" s="17"/>
      <c r="G106" s="17">
        <v>26500</v>
      </c>
      <c r="H106" s="16">
        <f t="shared" si="78"/>
        <v>0</v>
      </c>
      <c r="I106" s="19"/>
      <c r="J106" s="16" t="s">
        <v>401</v>
      </c>
      <c r="K106" s="27"/>
      <c r="L106" s="19">
        <v>250</v>
      </c>
      <c r="M106" s="16">
        <f t="shared" si="79"/>
        <v>0</v>
      </c>
      <c r="N106" s="17"/>
      <c r="O106" s="20" t="s">
        <v>108</v>
      </c>
      <c r="P106" s="21"/>
      <c r="Q106" s="19">
        <v>70000</v>
      </c>
      <c r="R106" s="16">
        <f t="shared" si="80"/>
        <v>0</v>
      </c>
      <c r="S106" s="20"/>
      <c r="T106" s="20" t="s">
        <v>65</v>
      </c>
      <c r="U106" s="20"/>
      <c r="V106" s="20">
        <v>950</v>
      </c>
      <c r="W106" s="16">
        <f t="shared" si="81"/>
        <v>0</v>
      </c>
      <c r="X106" s="16"/>
      <c r="Y106" s="16" t="s">
        <v>90</v>
      </c>
      <c r="Z106" s="16"/>
      <c r="AA106" s="16">
        <v>7000</v>
      </c>
      <c r="AB106" s="16">
        <f t="shared" si="82"/>
        <v>0</v>
      </c>
      <c r="AC106" s="20"/>
      <c r="AD106" s="20" t="s">
        <v>108</v>
      </c>
      <c r="AE106" s="20"/>
      <c r="AF106" s="16">
        <v>70000</v>
      </c>
      <c r="AG106" s="16">
        <f t="shared" si="83"/>
        <v>0</v>
      </c>
      <c r="AH106" s="16"/>
      <c r="AI106" s="16" t="s">
        <v>164</v>
      </c>
      <c r="AJ106" s="22"/>
      <c r="AK106" s="19">
        <v>15000</v>
      </c>
      <c r="AL106" s="16">
        <f t="shared" si="84"/>
        <v>0</v>
      </c>
      <c r="AM106" s="16"/>
      <c r="AN106" s="16" t="s">
        <v>242</v>
      </c>
      <c r="AO106" s="16"/>
      <c r="AP106" s="16">
        <v>80000</v>
      </c>
      <c r="AQ106" s="16">
        <f t="shared" si="85"/>
        <v>0</v>
      </c>
      <c r="AR106" s="16"/>
      <c r="AS106" s="16" t="s">
        <v>111</v>
      </c>
      <c r="AT106" s="16"/>
      <c r="AU106" s="16">
        <v>14000</v>
      </c>
      <c r="AV106" s="16">
        <f t="shared" si="86"/>
        <v>0</v>
      </c>
      <c r="AW106" s="16"/>
      <c r="AX106" s="16" t="s">
        <v>519</v>
      </c>
      <c r="AY106" s="16"/>
      <c r="AZ106" s="16">
        <v>250</v>
      </c>
      <c r="BA106" s="16">
        <f t="shared" si="87"/>
        <v>0</v>
      </c>
      <c r="BB106" s="20"/>
      <c r="BC106" s="20" t="s">
        <v>175</v>
      </c>
      <c r="BD106" s="17"/>
      <c r="BE106" s="17">
        <v>350</v>
      </c>
      <c r="BF106" s="16">
        <f t="shared" si="88"/>
        <v>0</v>
      </c>
      <c r="BG106" s="20"/>
      <c r="BH106" s="20" t="s">
        <v>65</v>
      </c>
      <c r="BI106" s="20"/>
      <c r="BJ106" s="20">
        <v>950</v>
      </c>
      <c r="BK106" s="16">
        <f t="shared" si="89"/>
        <v>0</v>
      </c>
      <c r="BL106" s="16"/>
      <c r="BM106" s="16" t="s">
        <v>65</v>
      </c>
      <c r="BN106" s="16"/>
      <c r="BO106" s="16">
        <v>950</v>
      </c>
      <c r="BP106" s="16">
        <f t="shared" si="90"/>
        <v>0</v>
      </c>
      <c r="BQ106" s="16"/>
      <c r="BR106" s="16" t="s">
        <v>113</v>
      </c>
      <c r="BS106" s="16"/>
      <c r="BT106" s="16">
        <v>5000</v>
      </c>
      <c r="BU106" s="16">
        <f t="shared" si="91"/>
        <v>0</v>
      </c>
      <c r="BV106" s="16"/>
      <c r="BW106" s="16" t="s">
        <v>114</v>
      </c>
      <c r="BX106" s="16"/>
      <c r="BY106" s="16">
        <v>35000</v>
      </c>
      <c r="BZ106" s="16">
        <f t="shared" si="92"/>
        <v>0</v>
      </c>
      <c r="CA106" s="16"/>
      <c r="CB106" s="16"/>
      <c r="CC106" s="16"/>
      <c r="CD106" s="16"/>
      <c r="CE106" s="16">
        <f t="shared" si="93"/>
        <v>0</v>
      </c>
      <c r="CF106" s="16"/>
      <c r="CG106" s="16" t="s">
        <v>58</v>
      </c>
      <c r="CH106" s="16"/>
      <c r="CI106" s="23">
        <v>85000</v>
      </c>
      <c r="CJ106" s="23">
        <f t="shared" si="94"/>
        <v>0</v>
      </c>
      <c r="CK106" s="20"/>
      <c r="CL106" s="20" t="s">
        <v>50</v>
      </c>
      <c r="CM106" s="20"/>
      <c r="CN106" s="20">
        <v>26500</v>
      </c>
      <c r="CO106" s="23">
        <f t="shared" si="95"/>
        <v>0</v>
      </c>
      <c r="CP106" s="16"/>
      <c r="CQ106" s="16" t="s">
        <v>107</v>
      </c>
      <c r="CR106" s="16"/>
      <c r="CS106" s="16">
        <v>11000</v>
      </c>
      <c r="CT106" s="23">
        <f t="shared" si="96"/>
        <v>0</v>
      </c>
      <c r="CU106" s="20"/>
      <c r="CV106" s="20" t="s">
        <v>83</v>
      </c>
      <c r="CW106" s="20"/>
      <c r="CX106" s="20">
        <v>450</v>
      </c>
      <c r="CY106" s="23">
        <f t="shared" si="97"/>
        <v>0</v>
      </c>
      <c r="CZ106" s="20"/>
      <c r="DA106" s="20" t="s">
        <v>147</v>
      </c>
      <c r="DB106" s="20"/>
      <c r="DC106" s="20">
        <v>250</v>
      </c>
      <c r="DD106" s="23">
        <f t="shared" si="98"/>
        <v>0</v>
      </c>
      <c r="DE106" s="16"/>
      <c r="DF106" s="16" t="s">
        <v>41</v>
      </c>
      <c r="DG106" s="16"/>
      <c r="DH106" s="16">
        <v>28000</v>
      </c>
      <c r="DI106" s="16">
        <f t="shared" si="99"/>
        <v>0</v>
      </c>
      <c r="DJ106" s="20"/>
      <c r="DK106" s="20" t="s">
        <v>136</v>
      </c>
      <c r="DL106" s="20"/>
      <c r="DM106" s="20">
        <v>250</v>
      </c>
      <c r="DN106" s="16">
        <f t="shared" si="100"/>
        <v>0</v>
      </c>
      <c r="DO106" s="20"/>
      <c r="DP106" s="20" t="s">
        <v>231</v>
      </c>
      <c r="DQ106" s="20"/>
      <c r="DR106" s="20">
        <v>1000</v>
      </c>
      <c r="DS106" s="16">
        <f t="shared" si="101"/>
        <v>0</v>
      </c>
      <c r="DT106" s="20"/>
      <c r="DU106" s="16" t="s">
        <v>39</v>
      </c>
      <c r="DV106" s="27"/>
      <c r="DW106" s="16">
        <v>450</v>
      </c>
      <c r="DX106" s="24">
        <f t="shared" si="102"/>
        <v>0</v>
      </c>
    </row>
    <row r="107" spans="1:128" s="2" customFormat="1" x14ac:dyDescent="0.3">
      <c r="A107" s="20"/>
      <c r="B107" s="16" t="str">
        <f>AI99</f>
        <v>POLI</v>
      </c>
      <c r="C107" s="16">
        <f>AL128</f>
        <v>0</v>
      </c>
      <c r="D107" s="17"/>
      <c r="E107" s="20" t="s">
        <v>179</v>
      </c>
      <c r="F107" s="20"/>
      <c r="G107" s="20">
        <v>35000</v>
      </c>
      <c r="H107" s="16">
        <f t="shared" si="78"/>
        <v>0</v>
      </c>
      <c r="I107" s="19"/>
      <c r="J107" s="16" t="s">
        <v>520</v>
      </c>
      <c r="K107" s="27"/>
      <c r="L107" s="19">
        <v>250</v>
      </c>
      <c r="M107" s="16">
        <f t="shared" si="79"/>
        <v>0</v>
      </c>
      <c r="N107" s="17"/>
      <c r="O107" s="20" t="s">
        <v>120</v>
      </c>
      <c r="P107" s="21"/>
      <c r="Q107" s="19">
        <v>4230</v>
      </c>
      <c r="R107" s="16">
        <f t="shared" si="80"/>
        <v>0</v>
      </c>
      <c r="S107" s="20"/>
      <c r="T107" s="20" t="s">
        <v>53</v>
      </c>
      <c r="U107" s="20"/>
      <c r="V107" s="20">
        <v>1000</v>
      </c>
      <c r="W107" s="16">
        <f t="shared" si="81"/>
        <v>0</v>
      </c>
      <c r="X107" s="16"/>
      <c r="Y107" s="16" t="s">
        <v>521</v>
      </c>
      <c r="Z107" s="16"/>
      <c r="AA107" s="16">
        <v>38000</v>
      </c>
      <c r="AB107" s="16">
        <f t="shared" si="82"/>
        <v>0</v>
      </c>
      <c r="AC107" s="20"/>
      <c r="AD107" s="20" t="s">
        <v>68</v>
      </c>
      <c r="AE107" s="20"/>
      <c r="AF107" s="16">
        <v>9000</v>
      </c>
      <c r="AG107" s="16">
        <f t="shared" si="83"/>
        <v>0</v>
      </c>
      <c r="AH107" s="16"/>
      <c r="AI107" s="16" t="s">
        <v>109</v>
      </c>
      <c r="AJ107" s="22"/>
      <c r="AK107" s="19">
        <v>10000</v>
      </c>
      <c r="AL107" s="16">
        <f t="shared" si="84"/>
        <v>0</v>
      </c>
      <c r="AM107" s="16"/>
      <c r="AN107" s="16" t="s">
        <v>161</v>
      </c>
      <c r="AO107" s="16"/>
      <c r="AP107" s="16">
        <v>15000</v>
      </c>
      <c r="AQ107" s="16">
        <f t="shared" si="85"/>
        <v>0</v>
      </c>
      <c r="AR107" s="16"/>
      <c r="AS107" s="16" t="s">
        <v>68</v>
      </c>
      <c r="AT107" s="16"/>
      <c r="AU107" s="16">
        <v>9000</v>
      </c>
      <c r="AV107" s="16">
        <f t="shared" si="86"/>
        <v>0</v>
      </c>
      <c r="AW107" s="16"/>
      <c r="AX107" s="16" t="s">
        <v>65</v>
      </c>
      <c r="AY107" s="16"/>
      <c r="AZ107" s="16">
        <v>950</v>
      </c>
      <c r="BA107" s="16">
        <f t="shared" si="87"/>
        <v>0</v>
      </c>
      <c r="BB107" s="20"/>
      <c r="BC107" s="20" t="s">
        <v>233</v>
      </c>
      <c r="BD107" s="17"/>
      <c r="BE107" s="17">
        <v>250</v>
      </c>
      <c r="BF107" s="16">
        <f t="shared" si="88"/>
        <v>0</v>
      </c>
      <c r="BG107" s="20"/>
      <c r="BH107" s="20" t="s">
        <v>522</v>
      </c>
      <c r="BI107" s="20"/>
      <c r="BJ107" s="20">
        <v>350</v>
      </c>
      <c r="BK107" s="16">
        <f t="shared" si="89"/>
        <v>0</v>
      </c>
      <c r="BL107" s="16"/>
      <c r="BM107" s="16" t="s">
        <v>188</v>
      </c>
      <c r="BN107" s="16"/>
      <c r="BO107" s="16">
        <v>250</v>
      </c>
      <c r="BP107" s="16">
        <f t="shared" si="90"/>
        <v>0</v>
      </c>
      <c r="BQ107" s="16"/>
      <c r="BR107" s="16" t="s">
        <v>126</v>
      </c>
      <c r="BS107" s="16"/>
      <c r="BT107" s="16">
        <v>12000</v>
      </c>
      <c r="BU107" s="16">
        <f t="shared" si="91"/>
        <v>0</v>
      </c>
      <c r="BV107" s="16"/>
      <c r="BW107" s="16" t="s">
        <v>127</v>
      </c>
      <c r="BX107" s="16"/>
      <c r="BY107" s="16">
        <v>96450</v>
      </c>
      <c r="BZ107" s="16">
        <f t="shared" si="92"/>
        <v>0</v>
      </c>
      <c r="CA107" s="16"/>
      <c r="CB107" s="16"/>
      <c r="CC107" s="16"/>
      <c r="CD107" s="16"/>
      <c r="CE107" s="16">
        <f t="shared" si="93"/>
        <v>0</v>
      </c>
      <c r="CF107" s="16"/>
      <c r="CG107" s="16" t="s">
        <v>189</v>
      </c>
      <c r="CH107" s="16"/>
      <c r="CI107" s="23">
        <v>10000</v>
      </c>
      <c r="CJ107" s="23">
        <f t="shared" si="94"/>
        <v>0</v>
      </c>
      <c r="CK107" s="20"/>
      <c r="CL107" s="20" t="s">
        <v>110</v>
      </c>
      <c r="CM107" s="20"/>
      <c r="CN107" s="20">
        <v>85000</v>
      </c>
      <c r="CO107" s="23">
        <f t="shared" si="95"/>
        <v>0</v>
      </c>
      <c r="CP107" s="16"/>
      <c r="CQ107" s="16" t="s">
        <v>179</v>
      </c>
      <c r="CR107" s="16"/>
      <c r="CS107" s="16">
        <v>35000</v>
      </c>
      <c r="CT107" s="23">
        <f t="shared" si="96"/>
        <v>0</v>
      </c>
      <c r="CU107" s="20"/>
      <c r="CV107" s="20" t="s">
        <v>68</v>
      </c>
      <c r="CW107" s="20"/>
      <c r="CX107" s="20">
        <v>9000</v>
      </c>
      <c r="CY107" s="23">
        <f t="shared" si="97"/>
        <v>0</v>
      </c>
      <c r="CZ107" s="20"/>
      <c r="DA107" s="20" t="s">
        <v>83</v>
      </c>
      <c r="DB107" s="20"/>
      <c r="DC107" s="20">
        <v>450</v>
      </c>
      <c r="DD107" s="23">
        <f t="shared" si="98"/>
        <v>0</v>
      </c>
      <c r="DE107" s="16"/>
      <c r="DF107" s="16" t="s">
        <v>69</v>
      </c>
      <c r="DG107" s="16"/>
      <c r="DH107" s="16">
        <v>1000</v>
      </c>
      <c r="DI107" s="16">
        <f t="shared" si="99"/>
        <v>0</v>
      </c>
      <c r="DJ107" s="20"/>
      <c r="DK107" s="20" t="s">
        <v>503</v>
      </c>
      <c r="DL107" s="20"/>
      <c r="DM107" s="20">
        <v>250</v>
      </c>
      <c r="DN107" s="16">
        <f t="shared" si="100"/>
        <v>0</v>
      </c>
      <c r="DO107" s="20"/>
      <c r="DP107" s="20" t="s">
        <v>169</v>
      </c>
      <c r="DQ107" s="17"/>
      <c r="DR107" s="17">
        <v>5000</v>
      </c>
      <c r="DS107" s="16">
        <f t="shared" si="101"/>
        <v>0</v>
      </c>
      <c r="DT107" s="20"/>
      <c r="DU107" s="16" t="s">
        <v>297</v>
      </c>
      <c r="DV107" s="27"/>
      <c r="DW107" s="19">
        <v>350</v>
      </c>
      <c r="DX107" s="24">
        <f t="shared" si="102"/>
        <v>0</v>
      </c>
    </row>
    <row r="108" spans="1:128" s="2" customFormat="1" x14ac:dyDescent="0.3">
      <c r="A108" s="20"/>
      <c r="B108" s="16" t="str">
        <f>AN99</f>
        <v>RADIOLOGI</v>
      </c>
      <c r="C108" s="16">
        <f>AQ128</f>
        <v>0</v>
      </c>
      <c r="D108" s="17"/>
      <c r="E108" s="20" t="s">
        <v>50</v>
      </c>
      <c r="F108" s="17"/>
      <c r="G108" s="17">
        <v>26500</v>
      </c>
      <c r="H108" s="16">
        <f t="shared" si="78"/>
        <v>0</v>
      </c>
      <c r="I108" s="19"/>
      <c r="J108" s="16" t="s">
        <v>105</v>
      </c>
      <c r="K108" s="27"/>
      <c r="L108" s="19">
        <v>700</v>
      </c>
      <c r="M108" s="16">
        <f t="shared" si="79"/>
        <v>0</v>
      </c>
      <c r="N108" s="17"/>
      <c r="O108" s="20" t="s">
        <v>132</v>
      </c>
      <c r="P108" s="21"/>
      <c r="Q108" s="19">
        <v>2200</v>
      </c>
      <c r="R108" s="16">
        <f t="shared" si="80"/>
        <v>0</v>
      </c>
      <c r="S108" s="20"/>
      <c r="T108" s="20" t="s">
        <v>69</v>
      </c>
      <c r="U108" s="20"/>
      <c r="V108" s="20">
        <v>1000</v>
      </c>
      <c r="W108" s="16">
        <f t="shared" si="81"/>
        <v>0</v>
      </c>
      <c r="X108" s="16"/>
      <c r="Y108" s="16" t="s">
        <v>84</v>
      </c>
      <c r="Z108" s="16"/>
      <c r="AA108" s="16">
        <v>100</v>
      </c>
      <c r="AB108" s="16">
        <f t="shared" si="82"/>
        <v>0</v>
      </c>
      <c r="AC108" s="20"/>
      <c r="AD108" s="20" t="s">
        <v>57</v>
      </c>
      <c r="AE108" s="20"/>
      <c r="AF108" s="16">
        <v>4000</v>
      </c>
      <c r="AG108" s="16">
        <f t="shared" si="83"/>
        <v>0</v>
      </c>
      <c r="AH108" s="16"/>
      <c r="AI108" s="16" t="s">
        <v>304</v>
      </c>
      <c r="AJ108" s="22"/>
      <c r="AK108" s="19">
        <v>20000</v>
      </c>
      <c r="AL108" s="16">
        <f t="shared" si="84"/>
        <v>0</v>
      </c>
      <c r="AM108" s="16"/>
      <c r="AN108" s="16" t="s">
        <v>90</v>
      </c>
      <c r="AO108" s="16"/>
      <c r="AP108" s="16">
        <v>7000</v>
      </c>
      <c r="AQ108" s="16">
        <f t="shared" si="85"/>
        <v>0</v>
      </c>
      <c r="AR108" s="16"/>
      <c r="AS108" s="16" t="s">
        <v>57</v>
      </c>
      <c r="AT108" s="16"/>
      <c r="AU108" s="16">
        <v>4000</v>
      </c>
      <c r="AV108" s="16">
        <f t="shared" si="86"/>
        <v>0</v>
      </c>
      <c r="AW108" s="16"/>
      <c r="AX108" s="16" t="s">
        <v>135</v>
      </c>
      <c r="AY108" s="16"/>
      <c r="AZ108" s="16">
        <v>6500</v>
      </c>
      <c r="BA108" s="16">
        <f t="shared" si="87"/>
        <v>0</v>
      </c>
      <c r="BB108" s="20"/>
      <c r="BC108" s="20" t="s">
        <v>481</v>
      </c>
      <c r="BD108" s="20"/>
      <c r="BE108" s="20">
        <v>250</v>
      </c>
      <c r="BF108" s="16">
        <f t="shared" si="88"/>
        <v>0</v>
      </c>
      <c r="BG108" s="20"/>
      <c r="BH108" s="20" t="s">
        <v>131</v>
      </c>
      <c r="BI108" s="20"/>
      <c r="BJ108" s="20">
        <v>250</v>
      </c>
      <c r="BK108" s="16">
        <f t="shared" si="89"/>
        <v>0</v>
      </c>
      <c r="BL108" s="16"/>
      <c r="BM108" s="16" t="s">
        <v>129</v>
      </c>
      <c r="BN108" s="16"/>
      <c r="BO108" s="16">
        <v>5000</v>
      </c>
      <c r="BP108" s="16">
        <f t="shared" si="90"/>
        <v>0</v>
      </c>
      <c r="BQ108" s="16"/>
      <c r="BR108" s="16" t="s">
        <v>149</v>
      </c>
      <c r="BS108" s="16"/>
      <c r="BT108" s="16">
        <v>60000</v>
      </c>
      <c r="BU108" s="16">
        <f t="shared" si="91"/>
        <v>0</v>
      </c>
      <c r="BV108" s="16"/>
      <c r="BW108" s="16" t="s">
        <v>139</v>
      </c>
      <c r="BX108" s="16"/>
      <c r="BY108" s="16">
        <v>104500</v>
      </c>
      <c r="BZ108" s="16">
        <f t="shared" si="92"/>
        <v>0</v>
      </c>
      <c r="CA108" s="16"/>
      <c r="CB108" s="16"/>
      <c r="CC108" s="16"/>
      <c r="CD108" s="16"/>
      <c r="CE108" s="16">
        <f t="shared" si="93"/>
        <v>0</v>
      </c>
      <c r="CF108" s="16"/>
      <c r="CG108" s="16" t="s">
        <v>57</v>
      </c>
      <c r="CH108" s="16"/>
      <c r="CI108" s="23">
        <v>4000</v>
      </c>
      <c r="CJ108" s="23">
        <f t="shared" si="94"/>
        <v>0</v>
      </c>
      <c r="CK108" s="20"/>
      <c r="CL108" s="20" t="s">
        <v>250</v>
      </c>
      <c r="CM108" s="20"/>
      <c r="CN108" s="20">
        <v>15000</v>
      </c>
      <c r="CO108" s="23">
        <f t="shared" si="95"/>
        <v>0</v>
      </c>
      <c r="CP108" s="16"/>
      <c r="CQ108" s="16" t="s">
        <v>65</v>
      </c>
      <c r="CR108" s="16"/>
      <c r="CS108" s="16">
        <v>950</v>
      </c>
      <c r="CT108" s="23">
        <f t="shared" si="96"/>
        <v>0</v>
      </c>
      <c r="CU108" s="20"/>
      <c r="CV108" s="20" t="s">
        <v>523</v>
      </c>
      <c r="CW108" s="20"/>
      <c r="CX108" s="20">
        <v>250</v>
      </c>
      <c r="CY108" s="23">
        <f t="shared" si="97"/>
        <v>0</v>
      </c>
      <c r="CZ108" s="20"/>
      <c r="DA108" s="20" t="s">
        <v>121</v>
      </c>
      <c r="DB108" s="20"/>
      <c r="DC108" s="20">
        <v>250</v>
      </c>
      <c r="DD108" s="23">
        <f t="shared" si="98"/>
        <v>0</v>
      </c>
      <c r="DE108" s="16"/>
      <c r="DF108" s="16" t="s">
        <v>110</v>
      </c>
      <c r="DG108" s="16"/>
      <c r="DH108" s="16">
        <v>85000</v>
      </c>
      <c r="DI108" s="16"/>
      <c r="DJ108" s="20"/>
      <c r="DK108" s="20" t="s">
        <v>144</v>
      </c>
      <c r="DL108" s="20"/>
      <c r="DM108" s="20">
        <v>1000</v>
      </c>
      <c r="DN108" s="16">
        <f t="shared" si="100"/>
        <v>0</v>
      </c>
      <c r="DO108" s="20"/>
      <c r="DP108" s="20" t="s">
        <v>65</v>
      </c>
      <c r="DQ108" s="20"/>
      <c r="DR108" s="20">
        <v>950</v>
      </c>
      <c r="DS108" s="16">
        <f t="shared" si="101"/>
        <v>0</v>
      </c>
      <c r="DT108" s="20"/>
      <c r="DU108" s="20" t="s">
        <v>65</v>
      </c>
      <c r="DV108" s="20"/>
      <c r="DW108" s="20">
        <v>950</v>
      </c>
      <c r="DX108" s="24">
        <f t="shared" si="102"/>
        <v>0</v>
      </c>
    </row>
    <row r="109" spans="1:128" s="2" customFormat="1" x14ac:dyDescent="0.3">
      <c r="A109" s="20"/>
      <c r="B109" s="16" t="str">
        <f>AS99</f>
        <v>LABORAT</v>
      </c>
      <c r="C109" s="16">
        <f>AV128</f>
        <v>0</v>
      </c>
      <c r="D109" s="17"/>
      <c r="E109" s="16" t="s">
        <v>80</v>
      </c>
      <c r="F109" s="16"/>
      <c r="G109" s="16">
        <v>17500</v>
      </c>
      <c r="H109" s="16">
        <f t="shared" si="78"/>
        <v>0</v>
      </c>
      <c r="I109" s="19"/>
      <c r="J109" s="16" t="s">
        <v>144</v>
      </c>
      <c r="K109" s="27"/>
      <c r="L109" s="19">
        <v>700</v>
      </c>
      <c r="M109" s="16">
        <f t="shared" si="79"/>
        <v>0</v>
      </c>
      <c r="N109" s="17"/>
      <c r="O109" s="20" t="s">
        <v>318</v>
      </c>
      <c r="P109" s="21"/>
      <c r="Q109" s="19">
        <v>8500</v>
      </c>
      <c r="R109" s="16">
        <f t="shared" si="80"/>
        <v>0</v>
      </c>
      <c r="S109" s="20"/>
      <c r="T109" s="20" t="s">
        <v>344</v>
      </c>
      <c r="U109" s="20"/>
      <c r="V109" s="20">
        <v>250</v>
      </c>
      <c r="W109" s="16">
        <f t="shared" si="81"/>
        <v>0</v>
      </c>
      <c r="X109" s="16"/>
      <c r="Y109" s="16" t="s">
        <v>524</v>
      </c>
      <c r="Z109" s="16"/>
      <c r="AA109" s="16">
        <v>12000</v>
      </c>
      <c r="AB109" s="16">
        <f t="shared" si="82"/>
        <v>0</v>
      </c>
      <c r="AC109" s="20"/>
      <c r="AD109" s="20" t="s">
        <v>525</v>
      </c>
      <c r="AE109" s="20"/>
      <c r="AF109" s="16">
        <v>5000</v>
      </c>
      <c r="AG109" s="16">
        <f t="shared" si="83"/>
        <v>0</v>
      </c>
      <c r="AH109" s="16"/>
      <c r="AI109" s="16" t="s">
        <v>39</v>
      </c>
      <c r="AJ109" s="27"/>
      <c r="AK109" s="16">
        <v>450</v>
      </c>
      <c r="AL109" s="16">
        <f t="shared" si="84"/>
        <v>0</v>
      </c>
      <c r="AM109" s="16"/>
      <c r="AN109" s="16" t="s">
        <v>65</v>
      </c>
      <c r="AO109" s="16"/>
      <c r="AP109" s="16">
        <v>950</v>
      </c>
      <c r="AQ109" s="16">
        <f t="shared" si="85"/>
        <v>0</v>
      </c>
      <c r="AR109" s="16"/>
      <c r="AS109" s="20" t="s">
        <v>443</v>
      </c>
      <c r="AT109" s="20"/>
      <c r="AU109" s="20">
        <v>20000</v>
      </c>
      <c r="AV109" s="16">
        <f t="shared" si="86"/>
        <v>0</v>
      </c>
      <c r="AW109" s="16"/>
      <c r="AX109" s="16" t="s">
        <v>126</v>
      </c>
      <c r="AY109" s="16"/>
      <c r="AZ109" s="16">
        <v>12000</v>
      </c>
      <c r="BA109" s="16">
        <f t="shared" si="87"/>
        <v>0</v>
      </c>
      <c r="BB109" s="20"/>
      <c r="BC109" s="20" t="s">
        <v>408</v>
      </c>
      <c r="BD109" s="17"/>
      <c r="BE109" s="17">
        <v>4400</v>
      </c>
      <c r="BF109" s="16">
        <f t="shared" si="88"/>
        <v>0</v>
      </c>
      <c r="BG109" s="20"/>
      <c r="BH109" s="20" t="s">
        <v>526</v>
      </c>
      <c r="BI109" s="20"/>
      <c r="BJ109" s="20">
        <v>350</v>
      </c>
      <c r="BK109" s="16">
        <f t="shared" si="89"/>
        <v>0</v>
      </c>
      <c r="BL109" s="16"/>
      <c r="BM109" s="16" t="s">
        <v>131</v>
      </c>
      <c r="BN109" s="16"/>
      <c r="BO109" s="16">
        <v>250</v>
      </c>
      <c r="BP109" s="16">
        <f t="shared" si="90"/>
        <v>0</v>
      </c>
      <c r="BQ109" s="16"/>
      <c r="BR109" s="16" t="s">
        <v>361</v>
      </c>
      <c r="BS109" s="16"/>
      <c r="BT109" s="16">
        <v>9700</v>
      </c>
      <c r="BU109" s="16">
        <f t="shared" si="91"/>
        <v>0</v>
      </c>
      <c r="BV109" s="16"/>
      <c r="BW109" s="16" t="s">
        <v>65</v>
      </c>
      <c r="BX109" s="16"/>
      <c r="BY109" s="16">
        <v>950</v>
      </c>
      <c r="BZ109" s="16">
        <f t="shared" si="92"/>
        <v>0</v>
      </c>
      <c r="CA109" s="16"/>
      <c r="CB109" s="16"/>
      <c r="CC109" s="16"/>
      <c r="CD109" s="16"/>
      <c r="CE109" s="16">
        <f t="shared" si="93"/>
        <v>0</v>
      </c>
      <c r="CF109" s="16"/>
      <c r="CG109" s="16" t="s">
        <v>65</v>
      </c>
      <c r="CH109" s="16"/>
      <c r="CI109" s="23">
        <v>4000</v>
      </c>
      <c r="CJ109" s="23">
        <f t="shared" si="94"/>
        <v>0</v>
      </c>
      <c r="CK109" s="20"/>
      <c r="CL109" s="20" t="s">
        <v>68</v>
      </c>
      <c r="CM109" s="20"/>
      <c r="CN109" s="20">
        <v>9000</v>
      </c>
      <c r="CO109" s="23">
        <f t="shared" si="95"/>
        <v>0</v>
      </c>
      <c r="CP109" s="16"/>
      <c r="CQ109" s="16" t="s">
        <v>170</v>
      </c>
      <c r="CR109" s="16"/>
      <c r="CS109" s="16">
        <v>35000</v>
      </c>
      <c r="CT109" s="23">
        <f t="shared" si="96"/>
        <v>0</v>
      </c>
      <c r="CU109" s="20"/>
      <c r="CV109" s="20" t="s">
        <v>464</v>
      </c>
      <c r="CW109" s="20"/>
      <c r="CX109" s="20">
        <v>250</v>
      </c>
      <c r="CY109" s="23">
        <f t="shared" si="97"/>
        <v>0</v>
      </c>
      <c r="CZ109" s="20"/>
      <c r="DA109" s="20" t="s">
        <v>467</v>
      </c>
      <c r="DB109" s="20"/>
      <c r="DC109" s="20">
        <v>250</v>
      </c>
      <c r="DD109" s="23">
        <f t="shared" si="98"/>
        <v>0</v>
      </c>
      <c r="DE109" s="16"/>
      <c r="DF109" s="16" t="s">
        <v>68</v>
      </c>
      <c r="DG109" s="16"/>
      <c r="DH109" s="16">
        <v>9000</v>
      </c>
      <c r="DI109" s="16">
        <f t="shared" ref="DI109:DI127" si="103">SUM(DG109*DH109)</f>
        <v>0</v>
      </c>
      <c r="DJ109" s="20"/>
      <c r="DK109" s="20" t="s">
        <v>152</v>
      </c>
      <c r="DL109" s="20"/>
      <c r="DM109" s="20">
        <v>3500</v>
      </c>
      <c r="DN109" s="16">
        <f t="shared" si="100"/>
        <v>0</v>
      </c>
      <c r="DO109" s="20"/>
      <c r="DP109" s="20" t="s">
        <v>87</v>
      </c>
      <c r="DQ109" s="20"/>
      <c r="DR109" s="20">
        <v>1550</v>
      </c>
      <c r="DS109" s="16">
        <f t="shared" si="101"/>
        <v>0</v>
      </c>
      <c r="DT109" s="20"/>
      <c r="DU109" s="20" t="s">
        <v>53</v>
      </c>
      <c r="DV109" s="20"/>
      <c r="DW109" s="20">
        <v>1000</v>
      </c>
      <c r="DX109" s="24">
        <f t="shared" si="102"/>
        <v>0</v>
      </c>
    </row>
    <row r="110" spans="1:128" s="2" customFormat="1" x14ac:dyDescent="0.3">
      <c r="A110" s="20"/>
      <c r="B110" s="16" t="str">
        <f>AX99</f>
        <v>OK</v>
      </c>
      <c r="C110" s="16">
        <f>BA128</f>
        <v>0</v>
      </c>
      <c r="D110" s="17"/>
      <c r="E110" s="20" t="s">
        <v>143</v>
      </c>
      <c r="F110" s="17"/>
      <c r="G110" s="17">
        <v>15000</v>
      </c>
      <c r="H110" s="16">
        <f t="shared" si="78"/>
        <v>0</v>
      </c>
      <c r="I110" s="19"/>
      <c r="J110" s="16" t="s">
        <v>472</v>
      </c>
      <c r="K110" s="27"/>
      <c r="L110" s="19">
        <v>250</v>
      </c>
      <c r="M110" s="16">
        <f t="shared" si="79"/>
        <v>0</v>
      </c>
      <c r="N110" s="17"/>
      <c r="O110" s="20" t="s">
        <v>154</v>
      </c>
      <c r="P110" s="21"/>
      <c r="Q110" s="19">
        <v>15000</v>
      </c>
      <c r="R110" s="16">
        <f t="shared" si="80"/>
        <v>0</v>
      </c>
      <c r="S110" s="20"/>
      <c r="T110" s="20" t="s">
        <v>68</v>
      </c>
      <c r="U110" s="20"/>
      <c r="V110" s="20">
        <v>9000</v>
      </c>
      <c r="W110" s="16">
        <f t="shared" si="81"/>
        <v>0</v>
      </c>
      <c r="X110" s="16"/>
      <c r="Y110" s="16" t="s">
        <v>160</v>
      </c>
      <c r="Z110" s="16"/>
      <c r="AA110" s="16">
        <v>250</v>
      </c>
      <c r="AB110" s="16">
        <f t="shared" si="82"/>
        <v>0</v>
      </c>
      <c r="AC110" s="20"/>
      <c r="AD110" s="20" t="s">
        <v>185</v>
      </c>
      <c r="AE110" s="20"/>
      <c r="AF110" s="16">
        <v>15000</v>
      </c>
      <c r="AG110" s="16">
        <f t="shared" si="83"/>
        <v>0</v>
      </c>
      <c r="AH110" s="16"/>
      <c r="AI110" s="16" t="s">
        <v>297</v>
      </c>
      <c r="AJ110" s="27"/>
      <c r="AK110" s="19">
        <v>350</v>
      </c>
      <c r="AL110" s="16">
        <f t="shared" si="84"/>
        <v>0</v>
      </c>
      <c r="AM110" s="16"/>
      <c r="AN110" s="16" t="s">
        <v>264</v>
      </c>
      <c r="AO110" s="16"/>
      <c r="AP110" s="16">
        <v>5000</v>
      </c>
      <c r="AQ110" s="16">
        <f t="shared" si="85"/>
        <v>0</v>
      </c>
      <c r="AR110" s="16"/>
      <c r="AS110" s="16" t="s">
        <v>90</v>
      </c>
      <c r="AT110" s="16"/>
      <c r="AU110" s="16">
        <v>7000</v>
      </c>
      <c r="AV110" s="16">
        <f t="shared" si="86"/>
        <v>0</v>
      </c>
      <c r="AW110" s="16"/>
      <c r="AX110" s="16" t="s">
        <v>90</v>
      </c>
      <c r="AY110" s="16"/>
      <c r="AZ110" s="16">
        <v>7000</v>
      </c>
      <c r="BA110" s="16">
        <f t="shared" si="87"/>
        <v>0</v>
      </c>
      <c r="BB110" s="20"/>
      <c r="BC110" s="16" t="s">
        <v>146</v>
      </c>
      <c r="BD110" s="22"/>
      <c r="BE110" s="19">
        <v>7000</v>
      </c>
      <c r="BF110" s="16">
        <f t="shared" si="88"/>
        <v>0</v>
      </c>
      <c r="BG110" s="20"/>
      <c r="BH110" s="20" t="s">
        <v>117</v>
      </c>
      <c r="BI110" s="20"/>
      <c r="BJ110" s="20">
        <v>250</v>
      </c>
      <c r="BK110" s="16">
        <f t="shared" si="89"/>
        <v>0</v>
      </c>
      <c r="BL110" s="16"/>
      <c r="BM110" s="16" t="s">
        <v>68</v>
      </c>
      <c r="BN110" s="16"/>
      <c r="BO110" s="16">
        <v>7000</v>
      </c>
      <c r="BP110" s="16">
        <f t="shared" si="90"/>
        <v>0</v>
      </c>
      <c r="BQ110" s="16"/>
      <c r="BR110" s="16" t="s">
        <v>159</v>
      </c>
      <c r="BS110" s="16"/>
      <c r="BT110" s="16">
        <v>23000</v>
      </c>
      <c r="BU110" s="16">
        <f t="shared" si="91"/>
        <v>0</v>
      </c>
      <c r="BV110" s="16"/>
      <c r="BW110" s="16" t="s">
        <v>493</v>
      </c>
      <c r="BX110" s="16"/>
      <c r="BY110" s="16">
        <v>40000</v>
      </c>
      <c r="BZ110" s="16">
        <f t="shared" si="92"/>
        <v>0</v>
      </c>
      <c r="CA110" s="16"/>
      <c r="CB110" s="16"/>
      <c r="CC110" s="16"/>
      <c r="CD110" s="16"/>
      <c r="CE110" s="16">
        <f t="shared" si="93"/>
        <v>0</v>
      </c>
      <c r="CF110" s="16"/>
      <c r="CG110" s="16" t="s">
        <v>135</v>
      </c>
      <c r="CH110" s="16"/>
      <c r="CI110" s="23">
        <v>6500</v>
      </c>
      <c r="CJ110" s="23">
        <f t="shared" si="94"/>
        <v>0</v>
      </c>
      <c r="CK110" s="20"/>
      <c r="CL110" s="20" t="s">
        <v>443</v>
      </c>
      <c r="CM110" s="20"/>
      <c r="CN110" s="20">
        <v>20000</v>
      </c>
      <c r="CO110" s="23">
        <f t="shared" si="95"/>
        <v>0</v>
      </c>
      <c r="CP110" s="16"/>
      <c r="CQ110" s="16" t="s">
        <v>527</v>
      </c>
      <c r="CR110" s="16"/>
      <c r="CS110" s="16">
        <v>85000</v>
      </c>
      <c r="CT110" s="23">
        <f t="shared" si="96"/>
        <v>0</v>
      </c>
      <c r="CU110" s="20"/>
      <c r="CV110" s="20" t="s">
        <v>303</v>
      </c>
      <c r="CW110" s="20"/>
      <c r="CX110" s="20">
        <v>10000</v>
      </c>
      <c r="CY110" s="23">
        <f t="shared" si="97"/>
        <v>0</v>
      </c>
      <c r="CZ110" s="20"/>
      <c r="DA110" s="20" t="s">
        <v>528</v>
      </c>
      <c r="DB110" s="20"/>
      <c r="DC110" s="20">
        <v>100</v>
      </c>
      <c r="DD110" s="23">
        <f t="shared" si="98"/>
        <v>0</v>
      </c>
      <c r="DE110" s="16"/>
      <c r="DF110" s="16" t="s">
        <v>361</v>
      </c>
      <c r="DG110" s="16"/>
      <c r="DH110" s="16">
        <v>10000</v>
      </c>
      <c r="DI110" s="16">
        <f t="shared" si="103"/>
        <v>0</v>
      </c>
      <c r="DJ110" s="20"/>
      <c r="DK110" s="20" t="s">
        <v>117</v>
      </c>
      <c r="DL110" s="20"/>
      <c r="DM110" s="20">
        <v>250</v>
      </c>
      <c r="DN110" s="16">
        <f t="shared" si="100"/>
        <v>0</v>
      </c>
      <c r="DO110" s="20"/>
      <c r="DP110" s="20" t="s">
        <v>83</v>
      </c>
      <c r="DQ110" s="20"/>
      <c r="DR110" s="20">
        <v>3300</v>
      </c>
      <c r="DS110" s="16">
        <f t="shared" si="101"/>
        <v>0</v>
      </c>
      <c r="DT110" s="20"/>
      <c r="DU110" s="20" t="s">
        <v>69</v>
      </c>
      <c r="DV110" s="20"/>
      <c r="DW110" s="20">
        <v>1000</v>
      </c>
      <c r="DX110" s="24">
        <f t="shared" si="102"/>
        <v>0</v>
      </c>
    </row>
    <row r="111" spans="1:128" s="2" customFormat="1" x14ac:dyDescent="0.3">
      <c r="A111" s="20"/>
      <c r="B111" s="16" t="str">
        <f>BC99</f>
        <v>VK</v>
      </c>
      <c r="C111" s="16">
        <f>BF128</f>
        <v>0</v>
      </c>
      <c r="D111" s="17"/>
      <c r="E111" s="20" t="s">
        <v>169</v>
      </c>
      <c r="F111" s="17"/>
      <c r="G111" s="17">
        <v>5000</v>
      </c>
      <c r="H111" s="16">
        <f t="shared" si="78"/>
        <v>0</v>
      </c>
      <c r="I111" s="19"/>
      <c r="J111" s="16" t="s">
        <v>529</v>
      </c>
      <c r="K111" s="16"/>
      <c r="L111" s="19">
        <v>700</v>
      </c>
      <c r="M111" s="16">
        <f t="shared" si="79"/>
        <v>0</v>
      </c>
      <c r="N111" s="17"/>
      <c r="O111" s="20" t="s">
        <v>378</v>
      </c>
      <c r="P111" s="21"/>
      <c r="Q111" s="19">
        <v>250</v>
      </c>
      <c r="R111" s="16">
        <f t="shared" si="80"/>
        <v>0</v>
      </c>
      <c r="S111" s="20"/>
      <c r="T111" s="20" t="s">
        <v>57</v>
      </c>
      <c r="U111" s="20"/>
      <c r="V111" s="20">
        <v>4000</v>
      </c>
      <c r="W111" s="16">
        <f t="shared" si="81"/>
        <v>0</v>
      </c>
      <c r="X111" s="16"/>
      <c r="Y111" s="16" t="s">
        <v>247</v>
      </c>
      <c r="Z111" s="16"/>
      <c r="AA111" s="16">
        <v>2500</v>
      </c>
      <c r="AB111" s="16">
        <f t="shared" si="82"/>
        <v>0</v>
      </c>
      <c r="AC111" s="20"/>
      <c r="AD111" s="20" t="s">
        <v>166</v>
      </c>
      <c r="AE111" s="20"/>
      <c r="AF111" s="16">
        <v>28000</v>
      </c>
      <c r="AG111" s="16">
        <f t="shared" si="83"/>
        <v>0</v>
      </c>
      <c r="AH111" s="16"/>
      <c r="AI111" s="16" t="s">
        <v>90</v>
      </c>
      <c r="AJ111" s="22"/>
      <c r="AK111" s="19">
        <v>7000</v>
      </c>
      <c r="AL111" s="16">
        <f t="shared" si="84"/>
        <v>0</v>
      </c>
      <c r="AM111" s="16"/>
      <c r="AN111" s="16" t="s">
        <v>62</v>
      </c>
      <c r="AO111" s="16"/>
      <c r="AP111" s="16">
        <v>7000</v>
      </c>
      <c r="AQ111" s="16">
        <f t="shared" si="85"/>
        <v>0</v>
      </c>
      <c r="AR111" s="16"/>
      <c r="AS111" s="16" t="s">
        <v>247</v>
      </c>
      <c r="AT111" s="16"/>
      <c r="AU111" s="16">
        <v>2500</v>
      </c>
      <c r="AV111" s="16">
        <f t="shared" si="86"/>
        <v>0</v>
      </c>
      <c r="AW111" s="16"/>
      <c r="AX111" s="16" t="s">
        <v>170</v>
      </c>
      <c r="AY111" s="16"/>
      <c r="AZ111" s="16">
        <v>35000</v>
      </c>
      <c r="BA111" s="16">
        <f t="shared" si="87"/>
        <v>0</v>
      </c>
      <c r="BB111" s="20"/>
      <c r="BC111" s="20" t="s">
        <v>57</v>
      </c>
      <c r="BD111" s="17"/>
      <c r="BE111" s="17">
        <v>4000</v>
      </c>
      <c r="BF111" s="16">
        <f t="shared" si="88"/>
        <v>0</v>
      </c>
      <c r="BG111" s="20"/>
      <c r="BH111" s="16" t="s">
        <v>193</v>
      </c>
      <c r="BI111" s="16"/>
      <c r="BJ111" s="16">
        <v>10000</v>
      </c>
      <c r="BK111" s="16">
        <f t="shared" si="89"/>
        <v>0</v>
      </c>
      <c r="BL111" s="16"/>
      <c r="BM111" s="16" t="s">
        <v>57</v>
      </c>
      <c r="BN111" s="16"/>
      <c r="BO111" s="16">
        <v>4000</v>
      </c>
      <c r="BP111" s="16">
        <f t="shared" si="90"/>
        <v>0</v>
      </c>
      <c r="BQ111" s="16"/>
      <c r="BR111" s="16" t="s">
        <v>360</v>
      </c>
      <c r="BS111" s="16"/>
      <c r="BT111" s="16">
        <v>10000</v>
      </c>
      <c r="BU111" s="16">
        <f t="shared" si="91"/>
        <v>0</v>
      </c>
      <c r="BV111" s="16"/>
      <c r="BW111" s="16" t="s">
        <v>530</v>
      </c>
      <c r="BX111" s="16"/>
      <c r="BY111" s="16">
        <v>30000</v>
      </c>
      <c r="BZ111" s="16">
        <f t="shared" si="92"/>
        <v>0</v>
      </c>
      <c r="CA111" s="16"/>
      <c r="CB111" s="16"/>
      <c r="CC111" s="16"/>
      <c r="CD111" s="16"/>
      <c r="CE111" s="16">
        <f t="shared" si="93"/>
        <v>0</v>
      </c>
      <c r="CF111" s="16"/>
      <c r="CG111" s="16" t="s">
        <v>531</v>
      </c>
      <c r="CH111" s="16"/>
      <c r="CI111" s="23">
        <v>12000</v>
      </c>
      <c r="CJ111" s="23">
        <f t="shared" si="94"/>
        <v>0</v>
      </c>
      <c r="CK111" s="20"/>
      <c r="CL111" s="20"/>
      <c r="CM111" s="20"/>
      <c r="CN111" s="20"/>
      <c r="CO111" s="23">
        <f t="shared" si="95"/>
        <v>0</v>
      </c>
      <c r="CP111" s="16"/>
      <c r="CQ111" s="16" t="s">
        <v>512</v>
      </c>
      <c r="CR111" s="16"/>
      <c r="CS111" s="16">
        <v>11000</v>
      </c>
      <c r="CT111" s="23">
        <f t="shared" si="96"/>
        <v>0</v>
      </c>
      <c r="CU111" s="20"/>
      <c r="CV111" s="20" t="s">
        <v>532</v>
      </c>
      <c r="CW111" s="20"/>
      <c r="CX111" s="20">
        <v>250</v>
      </c>
      <c r="CY111" s="23">
        <f t="shared" si="97"/>
        <v>0</v>
      </c>
      <c r="CZ111" s="20"/>
      <c r="DA111" s="20" t="s">
        <v>263</v>
      </c>
      <c r="DB111" s="20"/>
      <c r="DC111" s="20">
        <v>5000</v>
      </c>
      <c r="DD111" s="23">
        <f t="shared" si="98"/>
        <v>0</v>
      </c>
      <c r="DE111" s="16"/>
      <c r="DF111" s="16" t="s">
        <v>113</v>
      </c>
      <c r="DG111" s="16"/>
      <c r="DH111" s="16">
        <v>5000</v>
      </c>
      <c r="DI111" s="16">
        <f t="shared" si="103"/>
        <v>0</v>
      </c>
      <c r="DJ111" s="20"/>
      <c r="DK111" s="20" t="s">
        <v>68</v>
      </c>
      <c r="DL111" s="20"/>
      <c r="DM111" s="20">
        <v>9000</v>
      </c>
      <c r="DN111" s="16">
        <f t="shared" si="100"/>
        <v>0</v>
      </c>
      <c r="DO111" s="20"/>
      <c r="DP111" s="20" t="s">
        <v>88</v>
      </c>
      <c r="DQ111" s="20"/>
      <c r="DR111" s="20">
        <v>2500</v>
      </c>
      <c r="DS111" s="16">
        <f t="shared" si="101"/>
        <v>0</v>
      </c>
      <c r="DT111" s="20"/>
      <c r="DU111" s="20" t="s">
        <v>83</v>
      </c>
      <c r="DV111" s="20"/>
      <c r="DW111" s="20">
        <v>3300</v>
      </c>
      <c r="DX111" s="24">
        <f t="shared" si="102"/>
        <v>0</v>
      </c>
    </row>
    <row r="112" spans="1:128" s="2" customFormat="1" x14ac:dyDescent="0.3">
      <c r="A112" s="20"/>
      <c r="B112" s="16" t="str">
        <f>BH99</f>
        <v>MULTAZAM</v>
      </c>
      <c r="C112" s="16">
        <f>BK128</f>
        <v>0</v>
      </c>
      <c r="D112" s="17"/>
      <c r="E112" s="20" t="s">
        <v>174</v>
      </c>
      <c r="F112" s="17"/>
      <c r="G112" s="17">
        <v>20000</v>
      </c>
      <c r="H112" s="16">
        <f t="shared" si="78"/>
        <v>0</v>
      </c>
      <c r="I112" s="19"/>
      <c r="J112" s="16" t="s">
        <v>123</v>
      </c>
      <c r="K112" s="27"/>
      <c r="L112" s="19">
        <v>250</v>
      </c>
      <c r="M112" s="16">
        <f t="shared" si="79"/>
        <v>0</v>
      </c>
      <c r="N112" s="17"/>
      <c r="O112" s="20" t="s">
        <v>347</v>
      </c>
      <c r="P112" s="21"/>
      <c r="Q112" s="19">
        <v>15000</v>
      </c>
      <c r="R112" s="16">
        <f t="shared" si="80"/>
        <v>0</v>
      </c>
      <c r="S112" s="20"/>
      <c r="T112" s="20" t="s">
        <v>117</v>
      </c>
      <c r="U112" s="20"/>
      <c r="V112" s="20">
        <v>250</v>
      </c>
      <c r="W112" s="16">
        <f t="shared" si="81"/>
        <v>0</v>
      </c>
      <c r="X112" s="16"/>
      <c r="Y112" s="20" t="s">
        <v>57</v>
      </c>
      <c r="Z112" s="20"/>
      <c r="AA112" s="20">
        <v>4000</v>
      </c>
      <c r="AB112" s="16">
        <f t="shared" si="82"/>
        <v>0</v>
      </c>
      <c r="AC112" s="20"/>
      <c r="AD112" s="20" t="s">
        <v>177</v>
      </c>
      <c r="AE112" s="20"/>
      <c r="AF112" s="16">
        <v>39000</v>
      </c>
      <c r="AG112" s="16">
        <f t="shared" si="83"/>
        <v>0</v>
      </c>
      <c r="AH112" s="16"/>
      <c r="AI112" s="16" t="s">
        <v>121</v>
      </c>
      <c r="AJ112" s="22"/>
      <c r="AK112" s="19">
        <v>250</v>
      </c>
      <c r="AL112" s="16">
        <f t="shared" si="84"/>
        <v>0</v>
      </c>
      <c r="AM112" s="16"/>
      <c r="AN112" s="16" t="s">
        <v>202</v>
      </c>
      <c r="AO112" s="16"/>
      <c r="AP112" s="16">
        <v>15000</v>
      </c>
      <c r="AQ112" s="16">
        <f t="shared" si="85"/>
        <v>0</v>
      </c>
      <c r="AR112" s="16"/>
      <c r="AS112" s="16" t="s">
        <v>533</v>
      </c>
      <c r="AT112" s="16"/>
      <c r="AU112" s="16">
        <v>6500</v>
      </c>
      <c r="AV112" s="16">
        <f t="shared" si="86"/>
        <v>0</v>
      </c>
      <c r="AW112" s="16"/>
      <c r="AX112" s="16" t="s">
        <v>73</v>
      </c>
      <c r="AY112" s="16"/>
      <c r="AZ112" s="16">
        <v>3500</v>
      </c>
      <c r="BA112" s="16">
        <f t="shared" si="87"/>
        <v>0</v>
      </c>
      <c r="BB112" s="20"/>
      <c r="BC112" s="20" t="s">
        <v>90</v>
      </c>
      <c r="BD112" s="17"/>
      <c r="BE112" s="17">
        <v>7000</v>
      </c>
      <c r="BF112" s="16">
        <f t="shared" si="88"/>
        <v>0</v>
      </c>
      <c r="BG112" s="20"/>
      <c r="BH112" s="20" t="s">
        <v>93</v>
      </c>
      <c r="BI112" s="20"/>
      <c r="BJ112" s="20">
        <v>250</v>
      </c>
      <c r="BK112" s="16">
        <f t="shared" si="89"/>
        <v>0</v>
      </c>
      <c r="BL112" s="16"/>
      <c r="BM112" s="16" t="s">
        <v>90</v>
      </c>
      <c r="BN112" s="16"/>
      <c r="BO112" s="16">
        <v>7000</v>
      </c>
      <c r="BP112" s="16">
        <f t="shared" si="90"/>
        <v>0</v>
      </c>
      <c r="BQ112" s="16"/>
      <c r="BR112" s="16" t="s">
        <v>171</v>
      </c>
      <c r="BS112" s="16"/>
      <c r="BT112" s="16">
        <v>15000</v>
      </c>
      <c r="BU112" s="16">
        <f t="shared" si="91"/>
        <v>0</v>
      </c>
      <c r="BV112" s="16"/>
      <c r="BW112" s="16"/>
      <c r="BX112" s="16"/>
      <c r="BY112" s="16"/>
      <c r="BZ112" s="16">
        <f t="shared" si="92"/>
        <v>0</v>
      </c>
      <c r="CA112" s="16"/>
      <c r="CB112" s="16"/>
      <c r="CC112" s="16"/>
      <c r="CD112" s="16"/>
      <c r="CE112" s="16">
        <f t="shared" si="93"/>
        <v>0</v>
      </c>
      <c r="CF112" s="16"/>
      <c r="CG112" s="16" t="s">
        <v>267</v>
      </c>
      <c r="CH112" s="16"/>
      <c r="CI112" s="23">
        <v>10000</v>
      </c>
      <c r="CJ112" s="23">
        <f t="shared" si="94"/>
        <v>0</v>
      </c>
      <c r="CK112" s="20"/>
      <c r="CL112" s="20"/>
      <c r="CM112" s="20"/>
      <c r="CN112" s="20"/>
      <c r="CO112" s="23">
        <f t="shared" si="95"/>
        <v>0</v>
      </c>
      <c r="CP112" s="16"/>
      <c r="CQ112" s="16" t="s">
        <v>152</v>
      </c>
      <c r="CR112" s="16"/>
      <c r="CS112" s="16">
        <v>3000</v>
      </c>
      <c r="CT112" s="23">
        <f t="shared" si="96"/>
        <v>0</v>
      </c>
      <c r="CU112" s="20"/>
      <c r="CV112" s="16" t="s">
        <v>49</v>
      </c>
      <c r="CW112" s="16"/>
      <c r="CX112" s="23">
        <v>50000</v>
      </c>
      <c r="CY112" s="23">
        <f t="shared" si="97"/>
        <v>0</v>
      </c>
      <c r="CZ112" s="20"/>
      <c r="DA112" s="20" t="s">
        <v>62</v>
      </c>
      <c r="DB112" s="20"/>
      <c r="DC112" s="20">
        <v>7000</v>
      </c>
      <c r="DD112" s="23">
        <f t="shared" si="98"/>
        <v>0</v>
      </c>
      <c r="DE112" s="16"/>
      <c r="DF112" s="16" t="s">
        <v>206</v>
      </c>
      <c r="DG112" s="16"/>
      <c r="DH112" s="16">
        <v>2000</v>
      </c>
      <c r="DI112" s="16">
        <f t="shared" si="103"/>
        <v>0</v>
      </c>
      <c r="DJ112" s="20"/>
      <c r="DK112" s="20" t="s">
        <v>57</v>
      </c>
      <c r="DL112" s="20"/>
      <c r="DM112" s="20">
        <v>4000</v>
      </c>
      <c r="DN112" s="16">
        <f t="shared" si="100"/>
        <v>0</v>
      </c>
      <c r="DO112" s="20"/>
      <c r="DP112" s="16" t="s">
        <v>534</v>
      </c>
      <c r="DQ112" s="16"/>
      <c r="DR112" s="16">
        <v>15000</v>
      </c>
      <c r="DS112" s="16">
        <f t="shared" si="101"/>
        <v>0</v>
      </c>
      <c r="DT112" s="20"/>
      <c r="DU112" s="20" t="s">
        <v>88</v>
      </c>
      <c r="DV112" s="20"/>
      <c r="DW112" s="20">
        <v>2500</v>
      </c>
      <c r="DX112" s="24">
        <f t="shared" si="102"/>
        <v>0</v>
      </c>
    </row>
    <row r="113" spans="1:128" s="2" customFormat="1" x14ac:dyDescent="0.3">
      <c r="A113" s="20"/>
      <c r="B113" s="16" t="str">
        <f>BM99</f>
        <v>MARWA</v>
      </c>
      <c r="C113" s="16">
        <f>BP128</f>
        <v>0</v>
      </c>
      <c r="D113" s="17"/>
      <c r="E113" s="20" t="s">
        <v>58</v>
      </c>
      <c r="F113" s="17"/>
      <c r="G113" s="17">
        <v>85000</v>
      </c>
      <c r="H113" s="16">
        <f t="shared" si="78"/>
        <v>0</v>
      </c>
      <c r="I113" s="19"/>
      <c r="J113" s="16" t="s">
        <v>535</v>
      </c>
      <c r="K113" s="27"/>
      <c r="L113" s="19">
        <v>250</v>
      </c>
      <c r="M113" s="16">
        <f t="shared" si="79"/>
        <v>0</v>
      </c>
      <c r="N113" s="17"/>
      <c r="O113" s="20" t="s">
        <v>369</v>
      </c>
      <c r="P113" s="21"/>
      <c r="Q113" s="19">
        <v>250</v>
      </c>
      <c r="R113" s="16">
        <f t="shared" si="80"/>
        <v>0</v>
      </c>
      <c r="S113" s="20"/>
      <c r="T113" s="20" t="s">
        <v>90</v>
      </c>
      <c r="U113" s="20"/>
      <c r="V113" s="20">
        <v>7000</v>
      </c>
      <c r="W113" s="16">
        <f t="shared" si="81"/>
        <v>0</v>
      </c>
      <c r="X113" s="16"/>
      <c r="Y113" s="16" t="s">
        <v>107</v>
      </c>
      <c r="Z113" s="16"/>
      <c r="AA113" s="16">
        <v>11000</v>
      </c>
      <c r="AB113" s="16">
        <f t="shared" si="82"/>
        <v>0</v>
      </c>
      <c r="AC113" s="20"/>
      <c r="AD113" s="20" t="s">
        <v>47</v>
      </c>
      <c r="AE113" s="20"/>
      <c r="AF113" s="16">
        <v>4400</v>
      </c>
      <c r="AG113" s="16">
        <f t="shared" si="83"/>
        <v>0</v>
      </c>
      <c r="AH113" s="16"/>
      <c r="AI113" s="16" t="s">
        <v>400</v>
      </c>
      <c r="AJ113" s="22"/>
      <c r="AK113" s="19">
        <v>5000</v>
      </c>
      <c r="AL113" s="16">
        <f t="shared" si="84"/>
        <v>0</v>
      </c>
      <c r="AM113" s="16"/>
      <c r="AN113" s="16" t="s">
        <v>43</v>
      </c>
      <c r="AO113" s="16"/>
      <c r="AP113" s="16">
        <v>1550</v>
      </c>
      <c r="AQ113" s="16">
        <f t="shared" si="85"/>
        <v>0</v>
      </c>
      <c r="AR113" s="16"/>
      <c r="AS113" s="16" t="s">
        <v>247</v>
      </c>
      <c r="AT113" s="16"/>
      <c r="AU113" s="16">
        <v>3000</v>
      </c>
      <c r="AV113" s="16">
        <f t="shared" si="86"/>
        <v>0</v>
      </c>
      <c r="AW113" s="16"/>
      <c r="AX113" s="16" t="s">
        <v>536</v>
      </c>
      <c r="AY113" s="16"/>
      <c r="AZ113" s="16">
        <v>2000</v>
      </c>
      <c r="BA113" s="16">
        <f t="shared" si="87"/>
        <v>0</v>
      </c>
      <c r="BB113" s="20"/>
      <c r="BC113" s="20" t="s">
        <v>54</v>
      </c>
      <c r="BD113" s="17"/>
      <c r="BE113" s="17">
        <v>450</v>
      </c>
      <c r="BF113" s="16">
        <f t="shared" si="88"/>
        <v>0</v>
      </c>
      <c r="BG113" s="20"/>
      <c r="BH113" s="20" t="s">
        <v>68</v>
      </c>
      <c r="BI113" s="20"/>
      <c r="BJ113" s="20">
        <v>9000</v>
      </c>
      <c r="BK113" s="16">
        <f t="shared" si="89"/>
        <v>0</v>
      </c>
      <c r="BL113" s="16"/>
      <c r="BM113" s="16" t="s">
        <v>537</v>
      </c>
      <c r="BN113" s="16"/>
      <c r="BO113" s="16">
        <v>250</v>
      </c>
      <c r="BP113" s="16">
        <f t="shared" si="90"/>
        <v>0</v>
      </c>
      <c r="BQ113" s="16"/>
      <c r="BR113" s="16" t="s">
        <v>168</v>
      </c>
      <c r="BS113" s="16"/>
      <c r="BT113" s="16">
        <v>15000</v>
      </c>
      <c r="BU113" s="16">
        <f t="shared" si="91"/>
        <v>0</v>
      </c>
      <c r="BV113" s="16"/>
      <c r="BW113" s="16"/>
      <c r="BX113" s="16"/>
      <c r="BY113" s="16"/>
      <c r="BZ113" s="16">
        <f t="shared" si="92"/>
        <v>0</v>
      </c>
      <c r="CA113" s="16"/>
      <c r="CB113" s="16"/>
      <c r="CC113" s="16"/>
      <c r="CD113" s="16"/>
      <c r="CE113" s="16">
        <f t="shared" si="93"/>
        <v>0</v>
      </c>
      <c r="CF113" s="16"/>
      <c r="CG113" s="16" t="s">
        <v>361</v>
      </c>
      <c r="CH113" s="16"/>
      <c r="CI113" s="23">
        <v>10000</v>
      </c>
      <c r="CJ113" s="23">
        <f t="shared" si="94"/>
        <v>0</v>
      </c>
      <c r="CK113" s="20"/>
      <c r="CL113" s="20"/>
      <c r="CM113" s="20"/>
      <c r="CN113" s="20"/>
      <c r="CO113" s="23">
        <f t="shared" si="95"/>
        <v>0</v>
      </c>
      <c r="CP113" s="16"/>
      <c r="CQ113" s="16" t="s">
        <v>82</v>
      </c>
      <c r="CR113" s="16"/>
      <c r="CS113" s="16">
        <v>3000</v>
      </c>
      <c r="CT113" s="23">
        <f t="shared" si="96"/>
        <v>0</v>
      </c>
      <c r="CU113" s="20"/>
      <c r="CV113" s="20" t="s">
        <v>90</v>
      </c>
      <c r="CW113" s="20"/>
      <c r="CX113" s="20">
        <v>7000</v>
      </c>
      <c r="CY113" s="23">
        <f t="shared" si="97"/>
        <v>0</v>
      </c>
      <c r="CZ113" s="20"/>
      <c r="DA113" s="16" t="s">
        <v>243</v>
      </c>
      <c r="DB113" s="16"/>
      <c r="DC113" s="16">
        <v>500</v>
      </c>
      <c r="DD113" s="23">
        <f t="shared" si="98"/>
        <v>0</v>
      </c>
      <c r="DE113" s="16"/>
      <c r="DF113" s="16" t="s">
        <v>64</v>
      </c>
      <c r="DG113" s="16"/>
      <c r="DH113" s="16">
        <v>5000</v>
      </c>
      <c r="DI113" s="16">
        <f t="shared" si="103"/>
        <v>0</v>
      </c>
      <c r="DJ113" s="20"/>
      <c r="DK113" s="16" t="s">
        <v>39</v>
      </c>
      <c r="DL113" s="27"/>
      <c r="DM113" s="16">
        <v>450</v>
      </c>
      <c r="DN113" s="16">
        <f t="shared" si="100"/>
        <v>0</v>
      </c>
      <c r="DO113" s="20"/>
      <c r="DP113" s="20" t="s">
        <v>464</v>
      </c>
      <c r="DQ113" s="20"/>
      <c r="DR113" s="20">
        <v>250</v>
      </c>
      <c r="DS113" s="16">
        <f t="shared" si="101"/>
        <v>0</v>
      </c>
      <c r="DT113" s="20"/>
      <c r="DU113" s="20" t="s">
        <v>147</v>
      </c>
      <c r="DV113" s="20"/>
      <c r="DW113" s="20">
        <v>250</v>
      </c>
      <c r="DX113" s="24">
        <f t="shared" si="102"/>
        <v>0</v>
      </c>
    </row>
    <row r="114" spans="1:128" s="2" customFormat="1" x14ac:dyDescent="0.3">
      <c r="A114" s="20"/>
      <c r="B114" s="16" t="str">
        <f>BR99</f>
        <v xml:space="preserve">HK </v>
      </c>
      <c r="C114" s="16">
        <f>BU128</f>
        <v>0</v>
      </c>
      <c r="D114" s="17"/>
      <c r="E114" s="20" t="s">
        <v>54</v>
      </c>
      <c r="F114" s="17"/>
      <c r="G114" s="17">
        <v>45000</v>
      </c>
      <c r="H114" s="16">
        <f t="shared" si="78"/>
        <v>0</v>
      </c>
      <c r="I114" s="19"/>
      <c r="J114" s="16" t="s">
        <v>346</v>
      </c>
      <c r="K114" s="27"/>
      <c r="L114" s="19">
        <v>250</v>
      </c>
      <c r="M114" s="16">
        <f t="shared" si="79"/>
        <v>0</v>
      </c>
      <c r="N114" s="17"/>
      <c r="O114" s="20" t="s">
        <v>57</v>
      </c>
      <c r="P114" s="21"/>
      <c r="Q114" s="19">
        <v>4000</v>
      </c>
      <c r="R114" s="16">
        <f t="shared" si="80"/>
        <v>0</v>
      </c>
      <c r="S114" s="20"/>
      <c r="T114" s="20" t="s">
        <v>343</v>
      </c>
      <c r="U114" s="20"/>
      <c r="V114" s="20">
        <v>250</v>
      </c>
      <c r="W114" s="16">
        <f t="shared" si="81"/>
        <v>0</v>
      </c>
      <c r="X114" s="16"/>
      <c r="Y114" s="16" t="s">
        <v>242</v>
      </c>
      <c r="Z114" s="16"/>
      <c r="AA114" s="16">
        <v>85000</v>
      </c>
      <c r="AB114" s="16">
        <f t="shared" si="82"/>
        <v>0</v>
      </c>
      <c r="AC114" s="20"/>
      <c r="AD114" s="20" t="s">
        <v>200</v>
      </c>
      <c r="AE114" s="20"/>
      <c r="AF114" s="16">
        <v>2100</v>
      </c>
      <c r="AG114" s="16">
        <f t="shared" si="83"/>
        <v>0</v>
      </c>
      <c r="AH114" s="16"/>
      <c r="AI114" s="16" t="s">
        <v>538</v>
      </c>
      <c r="AJ114" s="16"/>
      <c r="AK114" s="16">
        <v>250</v>
      </c>
      <c r="AL114" s="16">
        <f t="shared" si="84"/>
        <v>0</v>
      </c>
      <c r="AM114" s="16"/>
      <c r="AN114" s="16" t="s">
        <v>170</v>
      </c>
      <c r="AO114" s="16"/>
      <c r="AP114" s="16">
        <v>35000</v>
      </c>
      <c r="AQ114" s="16">
        <f t="shared" si="85"/>
        <v>0</v>
      </c>
      <c r="AR114" s="16"/>
      <c r="AS114" s="16" t="s">
        <v>107</v>
      </c>
      <c r="AT114" s="16"/>
      <c r="AU114" s="16">
        <v>11000</v>
      </c>
      <c r="AV114" s="16">
        <f t="shared" si="86"/>
        <v>0</v>
      </c>
      <c r="AW114" s="16"/>
      <c r="AX114" s="16" t="s">
        <v>539</v>
      </c>
      <c r="AY114" s="16"/>
      <c r="AZ114" s="16">
        <v>15000</v>
      </c>
      <c r="BA114" s="16">
        <f t="shared" si="87"/>
        <v>0</v>
      </c>
      <c r="BB114" s="20"/>
      <c r="BC114" s="20" t="s">
        <v>70</v>
      </c>
      <c r="BD114" s="17"/>
      <c r="BE114" s="17">
        <v>350</v>
      </c>
      <c r="BF114" s="16">
        <f t="shared" si="88"/>
        <v>0</v>
      </c>
      <c r="BG114" s="20"/>
      <c r="BH114" s="16" t="s">
        <v>152</v>
      </c>
      <c r="BI114" s="16"/>
      <c r="BJ114" s="16">
        <v>3000</v>
      </c>
      <c r="BK114" s="16">
        <f t="shared" si="89"/>
        <v>0</v>
      </c>
      <c r="BL114" s="16"/>
      <c r="BM114" s="20" t="s">
        <v>268</v>
      </c>
      <c r="BN114" s="20"/>
      <c r="BO114" s="16">
        <v>57000</v>
      </c>
      <c r="BP114" s="16">
        <f t="shared" si="90"/>
        <v>0</v>
      </c>
      <c r="BQ114" s="16"/>
      <c r="BR114" s="16" t="s">
        <v>521</v>
      </c>
      <c r="BS114" s="16"/>
      <c r="BT114" s="16">
        <v>38000</v>
      </c>
      <c r="BU114" s="16">
        <f t="shared" si="91"/>
        <v>0</v>
      </c>
      <c r="BV114" s="16"/>
      <c r="BW114" s="16"/>
      <c r="BX114" s="16"/>
      <c r="BY114" s="16"/>
      <c r="BZ114" s="16">
        <f t="shared" si="92"/>
        <v>0</v>
      </c>
      <c r="CA114" s="16"/>
      <c r="CB114" s="16"/>
      <c r="CC114" s="16"/>
      <c r="CD114" s="16"/>
      <c r="CE114" s="16">
        <f t="shared" si="93"/>
        <v>0</v>
      </c>
      <c r="CF114" s="16"/>
      <c r="CG114" s="16" t="s">
        <v>126</v>
      </c>
      <c r="CH114" s="16"/>
      <c r="CI114" s="23">
        <v>10000</v>
      </c>
      <c r="CJ114" s="23">
        <f t="shared" si="94"/>
        <v>0</v>
      </c>
      <c r="CK114" s="20"/>
      <c r="CL114" s="20"/>
      <c r="CM114" s="20"/>
      <c r="CN114" s="20"/>
      <c r="CO114" s="23">
        <f t="shared" si="95"/>
        <v>0</v>
      </c>
      <c r="CP114" s="16"/>
      <c r="CQ114" s="16" t="s">
        <v>195</v>
      </c>
      <c r="CR114" s="16"/>
      <c r="CS114" s="16">
        <v>2000</v>
      </c>
      <c r="CT114" s="23">
        <f t="shared" si="96"/>
        <v>0</v>
      </c>
      <c r="CU114" s="20"/>
      <c r="CV114" s="20" t="s">
        <v>152</v>
      </c>
      <c r="CW114" s="20"/>
      <c r="CX114" s="20">
        <v>3000</v>
      </c>
      <c r="CY114" s="23">
        <f t="shared" si="97"/>
        <v>0</v>
      </c>
      <c r="CZ114" s="20"/>
      <c r="DA114" s="20" t="s">
        <v>87</v>
      </c>
      <c r="DB114" s="20"/>
      <c r="DC114" s="20">
        <v>1550</v>
      </c>
      <c r="DD114" s="23">
        <f t="shared" si="98"/>
        <v>0</v>
      </c>
      <c r="DE114" s="16"/>
      <c r="DF114" s="16" t="s">
        <v>540</v>
      </c>
      <c r="DG114" s="16"/>
      <c r="DH114" s="16">
        <v>6000</v>
      </c>
      <c r="DI114" s="16">
        <f t="shared" si="103"/>
        <v>0</v>
      </c>
      <c r="DJ114" s="20"/>
      <c r="DK114" s="16" t="s">
        <v>297</v>
      </c>
      <c r="DL114" s="27"/>
      <c r="DM114" s="19">
        <v>350</v>
      </c>
      <c r="DN114" s="16">
        <f t="shared" si="100"/>
        <v>0</v>
      </c>
      <c r="DO114" s="20"/>
      <c r="DP114" s="20" t="s">
        <v>131</v>
      </c>
      <c r="DQ114" s="20"/>
      <c r="DR114" s="20">
        <v>250</v>
      </c>
      <c r="DS114" s="16">
        <f t="shared" si="101"/>
        <v>0</v>
      </c>
      <c r="DT114" s="20"/>
      <c r="DU114" s="20" t="s">
        <v>334</v>
      </c>
      <c r="DV114" s="20"/>
      <c r="DW114" s="20">
        <v>250</v>
      </c>
      <c r="DX114" s="24">
        <f t="shared" si="102"/>
        <v>0</v>
      </c>
    </row>
    <row r="115" spans="1:128" s="2" customFormat="1" x14ac:dyDescent="0.3">
      <c r="A115" s="20"/>
      <c r="B115" s="16" t="str">
        <f>BW99</f>
        <v>LAUNDRY</v>
      </c>
      <c r="C115" s="16">
        <f>BZ128</f>
        <v>0</v>
      </c>
      <c r="D115" s="17"/>
      <c r="E115" s="20" t="s">
        <v>312</v>
      </c>
      <c r="F115" s="17"/>
      <c r="G115" s="17">
        <v>12000</v>
      </c>
      <c r="H115" s="16">
        <f t="shared" si="78"/>
        <v>0</v>
      </c>
      <c r="I115" s="19"/>
      <c r="J115" s="16" t="s">
        <v>211</v>
      </c>
      <c r="K115" s="27"/>
      <c r="L115" s="19">
        <v>250</v>
      </c>
      <c r="M115" s="16">
        <f t="shared" si="79"/>
        <v>0</v>
      </c>
      <c r="N115" s="17"/>
      <c r="O115" s="20" t="s">
        <v>116</v>
      </c>
      <c r="P115" s="21"/>
      <c r="Q115" s="19">
        <v>17000</v>
      </c>
      <c r="R115" s="16">
        <f t="shared" si="80"/>
        <v>0</v>
      </c>
      <c r="S115" s="20"/>
      <c r="T115" s="16" t="s">
        <v>184</v>
      </c>
      <c r="U115" s="27"/>
      <c r="V115" s="19">
        <v>3000</v>
      </c>
      <c r="W115" s="16">
        <f t="shared" si="81"/>
        <v>0</v>
      </c>
      <c r="X115" s="16"/>
      <c r="Y115" s="16"/>
      <c r="Z115" s="16"/>
      <c r="AA115" s="16"/>
      <c r="AB115" s="16">
        <f t="shared" si="82"/>
        <v>0</v>
      </c>
      <c r="AC115" s="20"/>
      <c r="AD115" s="20" t="s">
        <v>210</v>
      </c>
      <c r="AE115" s="20"/>
      <c r="AF115" s="16">
        <v>2600</v>
      </c>
      <c r="AG115" s="16">
        <f t="shared" si="83"/>
        <v>0</v>
      </c>
      <c r="AH115" s="16"/>
      <c r="AI115" s="16" t="s">
        <v>541</v>
      </c>
      <c r="AJ115" s="16"/>
      <c r="AK115" s="16">
        <v>250</v>
      </c>
      <c r="AL115" s="16">
        <f t="shared" si="84"/>
        <v>0</v>
      </c>
      <c r="AM115" s="16"/>
      <c r="AN115" s="16" t="s">
        <v>235</v>
      </c>
      <c r="AO115" s="16"/>
      <c r="AP115" s="16">
        <v>22000</v>
      </c>
      <c r="AQ115" s="16">
        <f t="shared" si="85"/>
        <v>0</v>
      </c>
      <c r="AR115" s="16"/>
      <c r="AS115" s="16" t="s">
        <v>242</v>
      </c>
      <c r="AT115" s="16"/>
      <c r="AU115" s="16">
        <v>85000</v>
      </c>
      <c r="AV115" s="16">
        <f t="shared" si="86"/>
        <v>0</v>
      </c>
      <c r="AW115" s="16"/>
      <c r="AX115" s="20" t="s">
        <v>301</v>
      </c>
      <c r="AY115" s="20"/>
      <c r="AZ115" s="20">
        <v>35000</v>
      </c>
      <c r="BA115" s="16">
        <f t="shared" si="87"/>
        <v>0</v>
      </c>
      <c r="BB115" s="20"/>
      <c r="BC115" s="20" t="s">
        <v>424</v>
      </c>
      <c r="BD115" s="17"/>
      <c r="BE115" s="17">
        <v>250</v>
      </c>
      <c r="BF115" s="16">
        <f t="shared" si="88"/>
        <v>0</v>
      </c>
      <c r="BG115" s="20"/>
      <c r="BH115" s="20" t="s">
        <v>542</v>
      </c>
      <c r="BI115" s="20"/>
      <c r="BJ115" s="24">
        <v>5000</v>
      </c>
      <c r="BK115" s="16">
        <f t="shared" si="89"/>
        <v>0</v>
      </c>
      <c r="BL115" s="16"/>
      <c r="BM115" s="16" t="s">
        <v>334</v>
      </c>
      <c r="BN115" s="16"/>
      <c r="BO115" s="16">
        <v>250</v>
      </c>
      <c r="BP115" s="16">
        <f t="shared" si="90"/>
        <v>0</v>
      </c>
      <c r="BQ115" s="16"/>
      <c r="BR115" s="16"/>
      <c r="BS115" s="16"/>
      <c r="BT115" s="16"/>
      <c r="BU115" s="16">
        <f t="shared" si="91"/>
        <v>0</v>
      </c>
      <c r="BV115" s="16"/>
      <c r="BW115" s="16"/>
      <c r="BX115" s="16"/>
      <c r="BY115" s="16"/>
      <c r="BZ115" s="16">
        <f t="shared" si="92"/>
        <v>0</v>
      </c>
      <c r="CA115" s="16"/>
      <c r="CB115" s="16"/>
      <c r="CC115" s="16"/>
      <c r="CD115" s="16"/>
      <c r="CE115" s="16">
        <f t="shared" si="93"/>
        <v>0</v>
      </c>
      <c r="CF115" s="16"/>
      <c r="CG115" s="16" t="s">
        <v>135</v>
      </c>
      <c r="CH115" s="16"/>
      <c r="CI115" s="23">
        <v>6500</v>
      </c>
      <c r="CJ115" s="23">
        <f t="shared" si="94"/>
        <v>0</v>
      </c>
      <c r="CK115" s="20"/>
      <c r="CL115" s="20"/>
      <c r="CM115" s="20"/>
      <c r="CN115" s="20"/>
      <c r="CO115" s="23">
        <f t="shared" si="95"/>
        <v>0</v>
      </c>
      <c r="CP115" s="16"/>
      <c r="CQ115" s="20" t="s">
        <v>324</v>
      </c>
      <c r="CR115" s="20"/>
      <c r="CS115" s="20">
        <v>15000</v>
      </c>
      <c r="CT115" s="23">
        <f t="shared" si="96"/>
        <v>0</v>
      </c>
      <c r="CU115" s="20"/>
      <c r="CV115" s="16" t="s">
        <v>39</v>
      </c>
      <c r="CW115" s="27"/>
      <c r="CX115" s="16">
        <v>450</v>
      </c>
      <c r="CY115" s="23">
        <f t="shared" si="97"/>
        <v>0</v>
      </c>
      <c r="CZ115" s="20"/>
      <c r="DA115" s="20" t="s">
        <v>68</v>
      </c>
      <c r="DB115" s="20"/>
      <c r="DC115" s="20">
        <v>9000</v>
      </c>
      <c r="DD115" s="23">
        <f t="shared" si="98"/>
        <v>0</v>
      </c>
      <c r="DE115" s="16"/>
      <c r="DF115" s="16" t="s">
        <v>65</v>
      </c>
      <c r="DG115" s="16"/>
      <c r="DH115" s="16">
        <v>950</v>
      </c>
      <c r="DI115" s="16">
        <f t="shared" si="103"/>
        <v>0</v>
      </c>
      <c r="DJ115" s="20"/>
      <c r="DK115" s="20" t="s">
        <v>457</v>
      </c>
      <c r="DL115" s="20"/>
      <c r="DM115" s="20">
        <v>250</v>
      </c>
      <c r="DN115" s="16">
        <f t="shared" si="100"/>
        <v>0</v>
      </c>
      <c r="DO115" s="20"/>
      <c r="DP115" s="20" t="s">
        <v>543</v>
      </c>
      <c r="DQ115" s="20"/>
      <c r="DR115" s="20">
        <v>250</v>
      </c>
      <c r="DS115" s="16">
        <f t="shared" si="101"/>
        <v>0</v>
      </c>
      <c r="DT115" s="20"/>
      <c r="DU115" s="20" t="s">
        <v>62</v>
      </c>
      <c r="DV115" s="20"/>
      <c r="DW115" s="20">
        <v>7000</v>
      </c>
      <c r="DX115" s="24">
        <f t="shared" si="102"/>
        <v>0</v>
      </c>
    </row>
    <row r="116" spans="1:128" s="2" customFormat="1" x14ac:dyDescent="0.3">
      <c r="A116" s="20"/>
      <c r="B116" s="16" t="str">
        <f>CB99</f>
        <v>LOGISTIK</v>
      </c>
      <c r="C116" s="16">
        <f>CE128</f>
        <v>0</v>
      </c>
      <c r="D116" s="17"/>
      <c r="E116" s="20" t="s">
        <v>512</v>
      </c>
      <c r="F116" s="17"/>
      <c r="G116" s="17">
        <v>11000</v>
      </c>
      <c r="H116" s="16">
        <f t="shared" si="78"/>
        <v>0</v>
      </c>
      <c r="I116" s="19"/>
      <c r="J116" s="16" t="s">
        <v>544</v>
      </c>
      <c r="K116" s="27"/>
      <c r="L116" s="19">
        <v>250</v>
      </c>
      <c r="M116" s="16">
        <f t="shared" si="79"/>
        <v>0</v>
      </c>
      <c r="N116" s="17"/>
      <c r="O116" s="20" t="s">
        <v>545</v>
      </c>
      <c r="P116" s="21"/>
      <c r="Q116" s="19">
        <v>5000</v>
      </c>
      <c r="R116" s="16">
        <f t="shared" si="80"/>
        <v>0</v>
      </c>
      <c r="S116" s="20"/>
      <c r="T116" s="20" t="s">
        <v>546</v>
      </c>
      <c r="U116" s="20"/>
      <c r="V116" s="20">
        <v>7000</v>
      </c>
      <c r="W116" s="16">
        <f t="shared" si="81"/>
        <v>0</v>
      </c>
      <c r="X116" s="16"/>
      <c r="Y116" s="16"/>
      <c r="Z116" s="16"/>
      <c r="AA116" s="16"/>
      <c r="AB116" s="16">
        <f t="shared" si="82"/>
        <v>0</v>
      </c>
      <c r="AC116" s="20"/>
      <c r="AD116" s="20" t="s">
        <v>219</v>
      </c>
      <c r="AE116" s="20"/>
      <c r="AF116" s="16">
        <v>5000</v>
      </c>
      <c r="AG116" s="16">
        <f t="shared" si="83"/>
        <v>0</v>
      </c>
      <c r="AH116" s="16"/>
      <c r="AI116" s="16" t="s">
        <v>189</v>
      </c>
      <c r="AJ116" s="22"/>
      <c r="AK116" s="19">
        <v>17000</v>
      </c>
      <c r="AL116" s="16">
        <f t="shared" si="84"/>
        <v>0</v>
      </c>
      <c r="AM116" s="16"/>
      <c r="AN116" s="16" t="s">
        <v>84</v>
      </c>
      <c r="AO116" s="16"/>
      <c r="AP116" s="16">
        <v>100</v>
      </c>
      <c r="AQ116" s="16">
        <f t="shared" si="85"/>
        <v>0</v>
      </c>
      <c r="AR116" s="16"/>
      <c r="AS116" s="16" t="s">
        <v>43</v>
      </c>
      <c r="AT116" s="16"/>
      <c r="AU116" s="16">
        <v>1500</v>
      </c>
      <c r="AV116" s="16">
        <f t="shared" si="86"/>
        <v>0</v>
      </c>
      <c r="AW116" s="16"/>
      <c r="AX116" s="16"/>
      <c r="AY116" s="16"/>
      <c r="AZ116" s="16"/>
      <c r="BA116" s="16">
        <f t="shared" si="87"/>
        <v>0</v>
      </c>
      <c r="BB116" s="20"/>
      <c r="BC116" s="20" t="s">
        <v>374</v>
      </c>
      <c r="BD116" s="17"/>
      <c r="BE116" s="17">
        <v>15</v>
      </c>
      <c r="BF116" s="16">
        <f t="shared" si="88"/>
        <v>0</v>
      </c>
      <c r="BG116" s="20"/>
      <c r="BH116" s="20" t="s">
        <v>547</v>
      </c>
      <c r="BI116" s="20"/>
      <c r="BJ116" s="20">
        <v>250</v>
      </c>
      <c r="BK116" s="16">
        <f t="shared" si="89"/>
        <v>0</v>
      </c>
      <c r="BL116" s="16"/>
      <c r="BM116" s="16" t="s">
        <v>548</v>
      </c>
      <c r="BN116" s="16"/>
      <c r="BO116" s="16">
        <v>250</v>
      </c>
      <c r="BP116" s="16">
        <f t="shared" si="90"/>
        <v>0</v>
      </c>
      <c r="BQ116" s="16"/>
      <c r="BR116" s="16"/>
      <c r="BS116" s="16"/>
      <c r="BT116" s="16"/>
      <c r="BU116" s="16">
        <f t="shared" si="91"/>
        <v>0</v>
      </c>
      <c r="BV116" s="16"/>
      <c r="BW116" s="16"/>
      <c r="BX116" s="16"/>
      <c r="BY116" s="16"/>
      <c r="BZ116" s="16">
        <f t="shared" si="92"/>
        <v>0</v>
      </c>
      <c r="CA116" s="16"/>
      <c r="CB116" s="16"/>
      <c r="CC116" s="16"/>
      <c r="CD116" s="16"/>
      <c r="CE116" s="16">
        <f t="shared" si="93"/>
        <v>0</v>
      </c>
      <c r="CF116" s="16"/>
      <c r="CG116" s="16" t="s">
        <v>160</v>
      </c>
      <c r="CH116" s="16"/>
      <c r="CI116" s="23">
        <v>250</v>
      </c>
      <c r="CJ116" s="23">
        <f t="shared" si="94"/>
        <v>0</v>
      </c>
      <c r="CK116" s="20"/>
      <c r="CL116" s="20"/>
      <c r="CM116" s="20"/>
      <c r="CN116" s="20"/>
      <c r="CO116" s="23">
        <f t="shared" si="95"/>
        <v>0</v>
      </c>
      <c r="CP116" s="16"/>
      <c r="CQ116" s="16" t="s">
        <v>67</v>
      </c>
      <c r="CR116" s="16"/>
      <c r="CS116" s="16">
        <v>5000</v>
      </c>
      <c r="CT116" s="23">
        <f t="shared" si="96"/>
        <v>0</v>
      </c>
      <c r="CU116" s="20"/>
      <c r="CV116" s="16" t="s">
        <v>297</v>
      </c>
      <c r="CW116" s="27"/>
      <c r="CX116" s="19">
        <v>350</v>
      </c>
      <c r="CY116" s="23">
        <f t="shared" si="97"/>
        <v>0</v>
      </c>
      <c r="CZ116" s="20"/>
      <c r="DA116" s="20" t="s">
        <v>57</v>
      </c>
      <c r="DB116" s="20"/>
      <c r="DC116" s="20">
        <v>4000</v>
      </c>
      <c r="DD116" s="23">
        <f t="shared" si="98"/>
        <v>0</v>
      </c>
      <c r="DE116" s="16"/>
      <c r="DF116" s="16" t="s">
        <v>178</v>
      </c>
      <c r="DG116" s="16"/>
      <c r="DH116" s="16">
        <v>250</v>
      </c>
      <c r="DI116" s="16">
        <f t="shared" si="103"/>
        <v>0</v>
      </c>
      <c r="DJ116" s="20"/>
      <c r="DK116" s="16" t="s">
        <v>62</v>
      </c>
      <c r="DL116" s="22"/>
      <c r="DM116" s="19">
        <v>7000</v>
      </c>
      <c r="DN116" s="16">
        <f t="shared" si="100"/>
        <v>0</v>
      </c>
      <c r="DO116" s="20"/>
      <c r="DP116" s="20" t="s">
        <v>152</v>
      </c>
      <c r="DQ116" s="20"/>
      <c r="DR116" s="20">
        <v>3000</v>
      </c>
      <c r="DS116" s="16">
        <f t="shared" si="101"/>
        <v>0</v>
      </c>
      <c r="DT116" s="20"/>
      <c r="DU116" s="20" t="s">
        <v>152</v>
      </c>
      <c r="DV116" s="17"/>
      <c r="DW116" s="17">
        <v>3000</v>
      </c>
      <c r="DX116" s="24">
        <f t="shared" si="102"/>
        <v>0</v>
      </c>
    </row>
    <row r="117" spans="1:128" s="2" customFormat="1" x14ac:dyDescent="0.3">
      <c r="A117" s="20"/>
      <c r="B117" s="16" t="str">
        <f>CG99</f>
        <v>ASURANSI</v>
      </c>
      <c r="C117" s="16">
        <f>CJ128</f>
        <v>0</v>
      </c>
      <c r="D117" s="17"/>
      <c r="E117" s="20" t="s">
        <v>549</v>
      </c>
      <c r="F117" s="17"/>
      <c r="G117" s="17">
        <v>2500</v>
      </c>
      <c r="H117" s="16">
        <f t="shared" si="78"/>
        <v>0</v>
      </c>
      <c r="I117" s="19"/>
      <c r="J117" s="16" t="s">
        <v>550</v>
      </c>
      <c r="K117" s="27"/>
      <c r="L117" s="19">
        <v>250</v>
      </c>
      <c r="M117" s="16">
        <f t="shared" si="79"/>
        <v>0</v>
      </c>
      <c r="N117" s="17"/>
      <c r="O117" s="20" t="s">
        <v>551</v>
      </c>
      <c r="P117" s="21"/>
      <c r="Q117" s="19">
        <v>15000</v>
      </c>
      <c r="R117" s="16">
        <f t="shared" si="80"/>
        <v>0</v>
      </c>
      <c r="S117" s="20"/>
      <c r="T117" s="20" t="s">
        <v>135</v>
      </c>
      <c r="U117" s="20"/>
      <c r="V117" s="16">
        <v>6500</v>
      </c>
      <c r="W117" s="16">
        <f t="shared" si="81"/>
        <v>0</v>
      </c>
      <c r="X117" s="16"/>
      <c r="Y117" s="16"/>
      <c r="Z117" s="16"/>
      <c r="AA117" s="16"/>
      <c r="AB117" s="16">
        <f t="shared" si="82"/>
        <v>0</v>
      </c>
      <c r="AC117" s="20"/>
      <c r="AD117" s="20" t="s">
        <v>229</v>
      </c>
      <c r="AE117" s="20"/>
      <c r="AF117" s="20">
        <v>12500</v>
      </c>
      <c r="AG117" s="16">
        <f t="shared" si="83"/>
        <v>0</v>
      </c>
      <c r="AH117" s="16"/>
      <c r="AI117" s="16" t="s">
        <v>552</v>
      </c>
      <c r="AJ117" s="22"/>
      <c r="AK117" s="16">
        <v>10000</v>
      </c>
      <c r="AL117" s="16">
        <f t="shared" si="84"/>
        <v>0</v>
      </c>
      <c r="AM117" s="16"/>
      <c r="AN117" s="16"/>
      <c r="AO117" s="16"/>
      <c r="AP117" s="16"/>
      <c r="AQ117" s="16">
        <f t="shared" si="85"/>
        <v>0</v>
      </c>
      <c r="AR117" s="16"/>
      <c r="AS117" s="16" t="s">
        <v>62</v>
      </c>
      <c r="AT117" s="22"/>
      <c r="AU117" s="19">
        <v>7000</v>
      </c>
      <c r="AV117" s="16">
        <f t="shared" si="86"/>
        <v>0</v>
      </c>
      <c r="AW117" s="16"/>
      <c r="AX117" s="16"/>
      <c r="AY117" s="16"/>
      <c r="AZ117" s="16"/>
      <c r="BA117" s="16">
        <f t="shared" si="87"/>
        <v>0</v>
      </c>
      <c r="BB117" s="20"/>
      <c r="BC117" s="20" t="s">
        <v>553</v>
      </c>
      <c r="BD117" s="17"/>
      <c r="BE117" s="17">
        <v>5000</v>
      </c>
      <c r="BF117" s="16">
        <f t="shared" si="88"/>
        <v>0</v>
      </c>
      <c r="BG117" s="20"/>
      <c r="BH117" s="20" t="s">
        <v>90</v>
      </c>
      <c r="BI117" s="20"/>
      <c r="BJ117" s="20">
        <v>7000</v>
      </c>
      <c r="BK117" s="16">
        <f t="shared" si="89"/>
        <v>0</v>
      </c>
      <c r="BL117" s="16"/>
      <c r="BM117" s="16" t="s">
        <v>53</v>
      </c>
      <c r="BN117" s="16"/>
      <c r="BO117" s="16">
        <v>1000</v>
      </c>
      <c r="BP117" s="16">
        <f t="shared" si="90"/>
        <v>0</v>
      </c>
      <c r="BQ117" s="16"/>
      <c r="BR117" s="16"/>
      <c r="BS117" s="16"/>
      <c r="BT117" s="16"/>
      <c r="BU117" s="16">
        <f t="shared" si="91"/>
        <v>0</v>
      </c>
      <c r="BV117" s="16"/>
      <c r="BW117" s="16"/>
      <c r="BX117" s="16"/>
      <c r="BY117" s="16"/>
      <c r="BZ117" s="16">
        <f t="shared" si="92"/>
        <v>0</v>
      </c>
      <c r="CA117" s="16"/>
      <c r="CB117" s="16"/>
      <c r="CC117" s="16"/>
      <c r="CD117" s="16"/>
      <c r="CE117" s="16">
        <f t="shared" si="93"/>
        <v>0</v>
      </c>
      <c r="CF117" s="16"/>
      <c r="CG117" s="16" t="s">
        <v>554</v>
      </c>
      <c r="CH117" s="16"/>
      <c r="CI117" s="23">
        <v>13500</v>
      </c>
      <c r="CJ117" s="23">
        <f t="shared" si="94"/>
        <v>0</v>
      </c>
      <c r="CK117" s="20"/>
      <c r="CL117" s="20"/>
      <c r="CM117" s="20"/>
      <c r="CN117" s="20"/>
      <c r="CO117" s="23">
        <f t="shared" si="95"/>
        <v>0</v>
      </c>
      <c r="CP117" s="16"/>
      <c r="CQ117" s="16" t="s">
        <v>555</v>
      </c>
      <c r="CR117" s="16"/>
      <c r="CS117" s="16">
        <v>500</v>
      </c>
      <c r="CT117" s="23">
        <f t="shared" si="96"/>
        <v>0</v>
      </c>
      <c r="CU117" s="20"/>
      <c r="CV117" s="20" t="s">
        <v>556</v>
      </c>
      <c r="CW117" s="20"/>
      <c r="CX117" s="20">
        <v>250</v>
      </c>
      <c r="CY117" s="23">
        <f t="shared" si="97"/>
        <v>0</v>
      </c>
      <c r="CZ117" s="20"/>
      <c r="DA117" s="20" t="s">
        <v>90</v>
      </c>
      <c r="DB117" s="20"/>
      <c r="DC117" s="20">
        <v>7000</v>
      </c>
      <c r="DD117" s="23">
        <f t="shared" si="98"/>
        <v>0</v>
      </c>
      <c r="DE117" s="16"/>
      <c r="DF117" s="16" t="s">
        <v>87</v>
      </c>
      <c r="DG117" s="16"/>
      <c r="DH117" s="16">
        <v>1550</v>
      </c>
      <c r="DI117" s="16">
        <f t="shared" si="103"/>
        <v>0</v>
      </c>
      <c r="DJ117" s="20"/>
      <c r="DK117" s="20" t="s">
        <v>54</v>
      </c>
      <c r="DL117" s="20"/>
      <c r="DM117" s="20">
        <v>450</v>
      </c>
      <c r="DN117" s="16">
        <f t="shared" si="100"/>
        <v>0</v>
      </c>
      <c r="DO117" s="20"/>
      <c r="DP117" s="20" t="s">
        <v>179</v>
      </c>
      <c r="DQ117" s="20"/>
      <c r="DR117" s="20">
        <v>35000</v>
      </c>
      <c r="DS117" s="16">
        <f t="shared" si="101"/>
        <v>0</v>
      </c>
      <c r="DT117" s="20"/>
      <c r="DU117" s="20" t="s">
        <v>129</v>
      </c>
      <c r="DV117" s="20"/>
      <c r="DW117" s="20">
        <v>5000</v>
      </c>
      <c r="DX117" s="24">
        <f t="shared" si="102"/>
        <v>0</v>
      </c>
    </row>
    <row r="118" spans="1:128" s="2" customFormat="1" x14ac:dyDescent="0.3">
      <c r="A118" s="20"/>
      <c r="B118" s="16" t="str">
        <f>CL99</f>
        <v>FISIOTERAPI</v>
      </c>
      <c r="C118" s="16">
        <f>CO128</f>
        <v>0</v>
      </c>
      <c r="D118" s="17"/>
      <c r="E118" s="20" t="s">
        <v>557</v>
      </c>
      <c r="F118" s="17"/>
      <c r="G118" s="17">
        <v>10000</v>
      </c>
      <c r="H118" s="16">
        <f t="shared" si="78"/>
        <v>0</v>
      </c>
      <c r="I118" s="19"/>
      <c r="J118" s="16" t="s">
        <v>95</v>
      </c>
      <c r="K118" s="22"/>
      <c r="L118" s="19">
        <v>15000</v>
      </c>
      <c r="M118" s="16">
        <f t="shared" si="79"/>
        <v>0</v>
      </c>
      <c r="N118" s="17"/>
      <c r="O118" s="16" t="s">
        <v>65</v>
      </c>
      <c r="P118" s="27"/>
      <c r="Q118" s="19">
        <v>950</v>
      </c>
      <c r="R118" s="16">
        <f t="shared" si="80"/>
        <v>0</v>
      </c>
      <c r="S118" s="20"/>
      <c r="T118" s="20" t="s">
        <v>322</v>
      </c>
      <c r="U118" s="20"/>
      <c r="V118" s="16">
        <v>20000</v>
      </c>
      <c r="W118" s="16">
        <f t="shared" si="81"/>
        <v>0</v>
      </c>
      <c r="X118" s="16"/>
      <c r="Y118" s="16"/>
      <c r="Z118" s="16"/>
      <c r="AA118" s="16"/>
      <c r="AB118" s="16">
        <f t="shared" si="82"/>
        <v>0</v>
      </c>
      <c r="AC118" s="20"/>
      <c r="AD118" s="20" t="s">
        <v>236</v>
      </c>
      <c r="AE118" s="20"/>
      <c r="AF118" s="20">
        <v>25000</v>
      </c>
      <c r="AG118" s="16">
        <f t="shared" si="83"/>
        <v>0</v>
      </c>
      <c r="AH118" s="16"/>
      <c r="AI118" s="16" t="s">
        <v>219</v>
      </c>
      <c r="AJ118" s="22"/>
      <c r="AK118" s="19">
        <v>5000</v>
      </c>
      <c r="AL118" s="16">
        <f t="shared" si="84"/>
        <v>0</v>
      </c>
      <c r="AM118" s="16"/>
      <c r="AN118" s="16"/>
      <c r="AO118" s="16"/>
      <c r="AP118" s="16"/>
      <c r="AQ118" s="16">
        <f t="shared" si="85"/>
        <v>0</v>
      </c>
      <c r="AR118" s="16"/>
      <c r="AS118" s="20" t="s">
        <v>244</v>
      </c>
      <c r="AT118" s="20"/>
      <c r="AU118" s="20">
        <v>3900</v>
      </c>
      <c r="AV118" s="16">
        <f t="shared" si="86"/>
        <v>0</v>
      </c>
      <c r="AW118" s="16"/>
      <c r="AX118" s="16"/>
      <c r="AY118" s="16"/>
      <c r="AZ118" s="16"/>
      <c r="BA118" s="16">
        <f t="shared" si="87"/>
        <v>0</v>
      </c>
      <c r="BB118" s="20"/>
      <c r="BC118" s="20" t="s">
        <v>558</v>
      </c>
      <c r="BD118" s="17"/>
      <c r="BE118" s="17">
        <v>5000</v>
      </c>
      <c r="BF118" s="16">
        <f t="shared" si="88"/>
        <v>0</v>
      </c>
      <c r="BG118" s="20"/>
      <c r="BH118" s="20" t="s">
        <v>53</v>
      </c>
      <c r="BI118" s="20"/>
      <c r="BJ118" s="20">
        <v>1000</v>
      </c>
      <c r="BK118" s="16">
        <f t="shared" si="89"/>
        <v>0</v>
      </c>
      <c r="BL118" s="16"/>
      <c r="BM118" s="20" t="s">
        <v>69</v>
      </c>
      <c r="BN118" s="16"/>
      <c r="BO118" s="16">
        <v>1000</v>
      </c>
      <c r="BP118" s="16">
        <f t="shared" si="90"/>
        <v>0</v>
      </c>
      <c r="BQ118" s="16"/>
      <c r="BR118" s="16"/>
      <c r="BS118" s="16"/>
      <c r="BT118" s="16"/>
      <c r="BU118" s="16">
        <f t="shared" si="91"/>
        <v>0</v>
      </c>
      <c r="BV118" s="16"/>
      <c r="BW118" s="16"/>
      <c r="BX118" s="16"/>
      <c r="BY118" s="16"/>
      <c r="BZ118" s="16">
        <f t="shared" si="92"/>
        <v>0</v>
      </c>
      <c r="CA118" s="16"/>
      <c r="CB118" s="16"/>
      <c r="CC118" s="16"/>
      <c r="CD118" s="16"/>
      <c r="CE118" s="16">
        <f t="shared" si="93"/>
        <v>0</v>
      </c>
      <c r="CF118" s="16"/>
      <c r="CG118" s="16" t="s">
        <v>103</v>
      </c>
      <c r="CH118" s="16"/>
      <c r="CI118" s="23">
        <v>500</v>
      </c>
      <c r="CJ118" s="23">
        <f t="shared" si="94"/>
        <v>0</v>
      </c>
      <c r="CK118" s="20"/>
      <c r="CL118" s="20"/>
      <c r="CM118" s="20"/>
      <c r="CN118" s="20"/>
      <c r="CO118" s="23">
        <f t="shared" si="95"/>
        <v>0</v>
      </c>
      <c r="CP118" s="16"/>
      <c r="CQ118" s="16" t="s">
        <v>243</v>
      </c>
      <c r="CR118" s="16"/>
      <c r="CS118" s="16">
        <v>2000</v>
      </c>
      <c r="CT118" s="23">
        <f t="shared" si="96"/>
        <v>0</v>
      </c>
      <c r="CU118" s="20"/>
      <c r="CV118" s="20" t="s">
        <v>264</v>
      </c>
      <c r="CW118" s="20"/>
      <c r="CX118" s="20">
        <v>5000</v>
      </c>
      <c r="CY118" s="23">
        <f t="shared" si="97"/>
        <v>0</v>
      </c>
      <c r="CZ118" s="20"/>
      <c r="DA118" s="20" t="s">
        <v>54</v>
      </c>
      <c r="DB118" s="20"/>
      <c r="DC118" s="20">
        <v>450</v>
      </c>
      <c r="DD118" s="23">
        <f t="shared" si="98"/>
        <v>0</v>
      </c>
      <c r="DE118" s="16"/>
      <c r="DF118" s="16" t="s">
        <v>129</v>
      </c>
      <c r="DG118" s="16"/>
      <c r="DH118" s="16">
        <v>5000</v>
      </c>
      <c r="DI118" s="16">
        <f t="shared" si="103"/>
        <v>0</v>
      </c>
      <c r="DJ118" s="20"/>
      <c r="DK118" s="20" t="s">
        <v>70</v>
      </c>
      <c r="DL118" s="20"/>
      <c r="DM118" s="20">
        <v>350</v>
      </c>
      <c r="DN118" s="16">
        <f t="shared" si="100"/>
        <v>0</v>
      </c>
      <c r="DO118" s="20"/>
      <c r="DP118" s="20" t="s">
        <v>312</v>
      </c>
      <c r="DQ118" s="20"/>
      <c r="DR118" s="20">
        <v>12000</v>
      </c>
      <c r="DS118" s="16">
        <f t="shared" si="101"/>
        <v>0</v>
      </c>
      <c r="DT118" s="20"/>
      <c r="DU118" s="20" t="s">
        <v>235</v>
      </c>
      <c r="DV118" s="20"/>
      <c r="DW118" s="20">
        <v>22000</v>
      </c>
      <c r="DX118" s="24">
        <f t="shared" si="102"/>
        <v>0</v>
      </c>
    </row>
    <row r="119" spans="1:128" s="2" customFormat="1" x14ac:dyDescent="0.3">
      <c r="A119" s="20"/>
      <c r="B119" s="16" t="str">
        <f>CQ99</f>
        <v>AULA</v>
      </c>
      <c r="C119" s="16">
        <f>CT128</f>
        <v>0</v>
      </c>
      <c r="D119" s="17"/>
      <c r="E119" s="20" t="s">
        <v>559</v>
      </c>
      <c r="F119" s="17"/>
      <c r="G119" s="17">
        <v>250</v>
      </c>
      <c r="H119" s="16">
        <f t="shared" si="78"/>
        <v>0</v>
      </c>
      <c r="I119" s="19"/>
      <c r="J119" s="16" t="s">
        <v>560</v>
      </c>
      <c r="K119" s="27"/>
      <c r="L119" s="19">
        <v>250</v>
      </c>
      <c r="M119" s="16">
        <f t="shared" si="79"/>
        <v>0</v>
      </c>
      <c r="N119" s="17"/>
      <c r="O119" s="20" t="s">
        <v>561</v>
      </c>
      <c r="P119" s="21"/>
      <c r="Q119" s="19">
        <v>250</v>
      </c>
      <c r="R119" s="16">
        <f t="shared" si="80"/>
        <v>0</v>
      </c>
      <c r="S119" s="20"/>
      <c r="T119" s="20" t="s">
        <v>562</v>
      </c>
      <c r="U119" s="20"/>
      <c r="V119" s="16">
        <v>3900</v>
      </c>
      <c r="W119" s="16">
        <f t="shared" si="81"/>
        <v>0</v>
      </c>
      <c r="X119" s="16"/>
      <c r="Y119" s="16"/>
      <c r="Z119" s="16"/>
      <c r="AA119" s="16"/>
      <c r="AB119" s="16">
        <f t="shared" si="82"/>
        <v>0</v>
      </c>
      <c r="AC119" s="20"/>
      <c r="AD119" s="20" t="s">
        <v>257</v>
      </c>
      <c r="AE119" s="20"/>
      <c r="AF119" s="20">
        <v>17000</v>
      </c>
      <c r="AG119" s="16">
        <f t="shared" si="83"/>
        <v>0</v>
      </c>
      <c r="AH119" s="16"/>
      <c r="AI119" s="16" t="s">
        <v>147</v>
      </c>
      <c r="AJ119" s="22"/>
      <c r="AK119" s="19">
        <v>250</v>
      </c>
      <c r="AL119" s="16">
        <f t="shared" si="84"/>
        <v>0</v>
      </c>
      <c r="AM119" s="16"/>
      <c r="AN119" s="16"/>
      <c r="AO119" s="16"/>
      <c r="AP119" s="16"/>
      <c r="AQ119" s="16">
        <f t="shared" si="85"/>
        <v>0</v>
      </c>
      <c r="AR119" s="16"/>
      <c r="AS119" s="20" t="s">
        <v>219</v>
      </c>
      <c r="AT119" s="20"/>
      <c r="AU119" s="16">
        <v>4900</v>
      </c>
      <c r="AV119" s="16">
        <f t="shared" si="86"/>
        <v>0</v>
      </c>
      <c r="AW119" s="16"/>
      <c r="AX119" s="16"/>
      <c r="AY119" s="16"/>
      <c r="AZ119" s="16"/>
      <c r="BA119" s="16">
        <f t="shared" si="87"/>
        <v>0</v>
      </c>
      <c r="BB119" s="20"/>
      <c r="BC119" s="20" t="s">
        <v>158</v>
      </c>
      <c r="BD119" s="17"/>
      <c r="BE119" s="17">
        <v>5000</v>
      </c>
      <c r="BF119" s="16">
        <f t="shared" si="88"/>
        <v>0</v>
      </c>
      <c r="BG119" s="20"/>
      <c r="BH119" s="20" t="s">
        <v>84</v>
      </c>
      <c r="BI119" s="20"/>
      <c r="BJ119" s="20">
        <v>100</v>
      </c>
      <c r="BK119" s="16">
        <f t="shared" si="89"/>
        <v>0</v>
      </c>
      <c r="BL119" s="16"/>
      <c r="BM119" s="16" t="s">
        <v>231</v>
      </c>
      <c r="BN119" s="16"/>
      <c r="BO119" s="16">
        <v>3900</v>
      </c>
      <c r="BP119" s="16">
        <f t="shared" si="90"/>
        <v>0</v>
      </c>
      <c r="BQ119" s="16"/>
      <c r="BR119" s="16"/>
      <c r="BS119" s="16"/>
      <c r="BT119" s="16"/>
      <c r="BU119" s="16">
        <f t="shared" si="91"/>
        <v>0</v>
      </c>
      <c r="BV119" s="16"/>
      <c r="BW119" s="16"/>
      <c r="BX119" s="16"/>
      <c r="BY119" s="16"/>
      <c r="BZ119" s="16">
        <f t="shared" si="92"/>
        <v>0</v>
      </c>
      <c r="CA119" s="16"/>
      <c r="CB119" s="16"/>
      <c r="CC119" s="16"/>
      <c r="CD119" s="16"/>
      <c r="CE119" s="16">
        <f t="shared" si="93"/>
        <v>0</v>
      </c>
      <c r="CF119" s="16"/>
      <c r="CG119" s="16" t="s">
        <v>563</v>
      </c>
      <c r="CH119" s="16"/>
      <c r="CI119" s="23">
        <v>15000</v>
      </c>
      <c r="CJ119" s="23">
        <f t="shared" si="94"/>
        <v>0</v>
      </c>
      <c r="CK119" s="20"/>
      <c r="CL119" s="20"/>
      <c r="CM119" s="20"/>
      <c r="CN119" s="20"/>
      <c r="CO119" s="23">
        <f t="shared" si="95"/>
        <v>0</v>
      </c>
      <c r="CP119" s="16"/>
      <c r="CQ119" s="16" t="s">
        <v>57</v>
      </c>
      <c r="CR119" s="16"/>
      <c r="CS119" s="16">
        <v>4000</v>
      </c>
      <c r="CT119" s="23">
        <f t="shared" si="96"/>
        <v>0</v>
      </c>
      <c r="CU119" s="20"/>
      <c r="CV119" s="20" t="s">
        <v>65</v>
      </c>
      <c r="CW119" s="20"/>
      <c r="CX119" s="20">
        <v>1550</v>
      </c>
      <c r="CY119" s="23">
        <f t="shared" si="97"/>
        <v>0</v>
      </c>
      <c r="CZ119" s="20"/>
      <c r="DA119" s="20" t="s">
        <v>70</v>
      </c>
      <c r="DB119" s="20"/>
      <c r="DC119" s="20">
        <v>350</v>
      </c>
      <c r="DD119" s="23">
        <f t="shared" si="98"/>
        <v>0</v>
      </c>
      <c r="DE119" s="16"/>
      <c r="DF119" s="16" t="s">
        <v>135</v>
      </c>
      <c r="DG119" s="16"/>
      <c r="DH119" s="16">
        <v>6500</v>
      </c>
      <c r="DI119" s="16">
        <f t="shared" si="103"/>
        <v>0</v>
      </c>
      <c r="DJ119" s="20"/>
      <c r="DK119" s="20" t="s">
        <v>185</v>
      </c>
      <c r="DL119" s="20"/>
      <c r="DM119" s="20">
        <v>5000</v>
      </c>
      <c r="DN119" s="16">
        <f t="shared" si="100"/>
        <v>0</v>
      </c>
      <c r="DO119" s="20"/>
      <c r="DP119" s="20" t="s">
        <v>65</v>
      </c>
      <c r="DQ119" s="20"/>
      <c r="DR119" s="20">
        <v>1550</v>
      </c>
      <c r="DS119" s="16">
        <f t="shared" si="101"/>
        <v>0</v>
      </c>
      <c r="DT119" s="20"/>
      <c r="DU119" s="16" t="s">
        <v>563</v>
      </c>
      <c r="DV119" s="16"/>
      <c r="DW119" s="23">
        <v>15000</v>
      </c>
      <c r="DX119" s="24">
        <f t="shared" si="102"/>
        <v>0</v>
      </c>
    </row>
    <row r="120" spans="1:128" s="2" customFormat="1" x14ac:dyDescent="0.3">
      <c r="A120" s="20"/>
      <c r="B120" s="16" t="str">
        <f>CV99</f>
        <v>PERINA PICU NICU</v>
      </c>
      <c r="C120" s="16">
        <f>CY128</f>
        <v>0</v>
      </c>
      <c r="D120" s="17"/>
      <c r="E120" s="20" t="s">
        <v>152</v>
      </c>
      <c r="F120" s="17"/>
      <c r="G120" s="17">
        <v>3000</v>
      </c>
      <c r="H120" s="16">
        <f t="shared" si="78"/>
        <v>0</v>
      </c>
      <c r="I120" s="19"/>
      <c r="J120" s="16" t="s">
        <v>288</v>
      </c>
      <c r="K120" s="27"/>
      <c r="L120" s="19">
        <v>26500</v>
      </c>
      <c r="M120" s="16">
        <f t="shared" si="79"/>
        <v>0</v>
      </c>
      <c r="N120" s="17"/>
      <c r="O120" s="20" t="s">
        <v>564</v>
      </c>
      <c r="P120" s="21"/>
      <c r="Q120" s="19">
        <v>250</v>
      </c>
      <c r="R120" s="16">
        <f t="shared" si="80"/>
        <v>0</v>
      </c>
      <c r="S120" s="20"/>
      <c r="T120" s="20" t="s">
        <v>131</v>
      </c>
      <c r="U120" s="20"/>
      <c r="V120" s="16">
        <v>250</v>
      </c>
      <c r="W120" s="16">
        <f t="shared" si="81"/>
        <v>0</v>
      </c>
      <c r="X120" s="16"/>
      <c r="Y120" s="16"/>
      <c r="Z120" s="16"/>
      <c r="AA120" s="16"/>
      <c r="AB120" s="16">
        <f t="shared" si="82"/>
        <v>0</v>
      </c>
      <c r="AC120" s="20"/>
      <c r="AD120" s="20" t="s">
        <v>565</v>
      </c>
      <c r="AE120" s="20"/>
      <c r="AF120" s="20">
        <v>5000</v>
      </c>
      <c r="AG120" s="16">
        <f t="shared" si="83"/>
        <v>0</v>
      </c>
      <c r="AH120" s="16"/>
      <c r="AI120" s="16" t="s">
        <v>428</v>
      </c>
      <c r="AJ120" s="22"/>
      <c r="AK120" s="19">
        <v>10000</v>
      </c>
      <c r="AL120" s="16">
        <f t="shared" si="84"/>
        <v>0</v>
      </c>
      <c r="AM120" s="16"/>
      <c r="AN120" s="16"/>
      <c r="AO120" s="16"/>
      <c r="AP120" s="16"/>
      <c r="AQ120" s="16">
        <f t="shared" si="85"/>
        <v>0</v>
      </c>
      <c r="AR120" s="16"/>
      <c r="AS120" s="20" t="s">
        <v>40</v>
      </c>
      <c r="AT120" s="21"/>
      <c r="AU120" s="19">
        <v>2000</v>
      </c>
      <c r="AV120" s="16">
        <f t="shared" si="86"/>
        <v>0</v>
      </c>
      <c r="AW120" s="16"/>
      <c r="AX120" s="16"/>
      <c r="AY120" s="16"/>
      <c r="AZ120" s="16"/>
      <c r="BA120" s="16">
        <f t="shared" si="87"/>
        <v>0</v>
      </c>
      <c r="BB120" s="20"/>
      <c r="BC120" s="20" t="s">
        <v>566</v>
      </c>
      <c r="BD120" s="17"/>
      <c r="BE120" s="17">
        <v>250</v>
      </c>
      <c r="BF120" s="16">
        <f t="shared" si="88"/>
        <v>0</v>
      </c>
      <c r="BG120" s="20"/>
      <c r="BH120" s="20" t="s">
        <v>567</v>
      </c>
      <c r="BI120" s="20"/>
      <c r="BJ120" s="20">
        <v>2500</v>
      </c>
      <c r="BK120" s="16">
        <f t="shared" si="89"/>
        <v>0</v>
      </c>
      <c r="BL120" s="16"/>
      <c r="BM120" s="16" t="s">
        <v>568</v>
      </c>
      <c r="BN120" s="16"/>
      <c r="BO120" s="16">
        <v>250</v>
      </c>
      <c r="BP120" s="16">
        <f t="shared" si="90"/>
        <v>0</v>
      </c>
      <c r="BQ120" s="16"/>
      <c r="BR120" s="16"/>
      <c r="BS120" s="16"/>
      <c r="BT120" s="16"/>
      <c r="BU120" s="16">
        <f t="shared" si="91"/>
        <v>0</v>
      </c>
      <c r="BV120" s="16"/>
      <c r="BW120" s="16"/>
      <c r="BX120" s="16"/>
      <c r="BY120" s="16"/>
      <c r="BZ120" s="16">
        <f t="shared" si="92"/>
        <v>0</v>
      </c>
      <c r="CA120" s="16"/>
      <c r="CB120" s="16"/>
      <c r="CC120" s="16"/>
      <c r="CD120" s="16"/>
      <c r="CE120" s="16">
        <f t="shared" si="93"/>
        <v>0</v>
      </c>
      <c r="CF120" s="16"/>
      <c r="CG120" s="16" t="s">
        <v>540</v>
      </c>
      <c r="CH120" s="16"/>
      <c r="CI120" s="16">
        <v>6000</v>
      </c>
      <c r="CJ120" s="23">
        <f t="shared" si="94"/>
        <v>0</v>
      </c>
      <c r="CK120" s="20"/>
      <c r="CL120" s="20"/>
      <c r="CM120" s="20"/>
      <c r="CN120" s="20"/>
      <c r="CO120" s="23">
        <f t="shared" si="95"/>
        <v>0</v>
      </c>
      <c r="CP120" s="16"/>
      <c r="CQ120" s="16" t="s">
        <v>426</v>
      </c>
      <c r="CR120" s="16"/>
      <c r="CS120" s="16">
        <v>30000</v>
      </c>
      <c r="CT120" s="23">
        <f t="shared" si="96"/>
        <v>0</v>
      </c>
      <c r="CU120" s="20"/>
      <c r="CV120" s="20" t="s">
        <v>93</v>
      </c>
      <c r="CW120" s="20"/>
      <c r="CX120" s="20">
        <v>250</v>
      </c>
      <c r="CY120" s="23">
        <f t="shared" si="97"/>
        <v>0</v>
      </c>
      <c r="CZ120" s="20"/>
      <c r="DA120" s="20" t="s">
        <v>88</v>
      </c>
      <c r="DB120" s="20"/>
      <c r="DC120" s="20">
        <v>350</v>
      </c>
      <c r="DD120" s="23">
        <f t="shared" si="98"/>
        <v>0</v>
      </c>
      <c r="DE120" s="16"/>
      <c r="DF120" s="20" t="s">
        <v>312</v>
      </c>
      <c r="DG120" s="20"/>
      <c r="DH120" s="20">
        <v>12000</v>
      </c>
      <c r="DI120" s="16">
        <f t="shared" si="103"/>
        <v>0</v>
      </c>
      <c r="DJ120" s="20"/>
      <c r="DK120" s="20" t="s">
        <v>83</v>
      </c>
      <c r="DL120" s="20"/>
      <c r="DM120" s="20">
        <v>3300</v>
      </c>
      <c r="DN120" s="16">
        <f t="shared" si="100"/>
        <v>0</v>
      </c>
      <c r="DO120" s="20"/>
      <c r="DP120" s="20" t="s">
        <v>569</v>
      </c>
      <c r="DQ120" s="20"/>
      <c r="DR120" s="20">
        <v>250</v>
      </c>
      <c r="DS120" s="16">
        <f t="shared" si="101"/>
        <v>0</v>
      </c>
      <c r="DT120" s="20"/>
      <c r="DU120" s="20" t="s">
        <v>51</v>
      </c>
      <c r="DV120" s="20"/>
      <c r="DW120" s="20">
        <v>100</v>
      </c>
      <c r="DX120" s="24">
        <f t="shared" si="102"/>
        <v>0</v>
      </c>
    </row>
    <row r="121" spans="1:128" s="2" customFormat="1" x14ac:dyDescent="0.3">
      <c r="A121" s="20"/>
      <c r="B121" s="16" t="str">
        <f>DA99</f>
        <v>HCU / komite</v>
      </c>
      <c r="C121" s="16">
        <f>DD128</f>
        <v>0</v>
      </c>
      <c r="D121" s="17"/>
      <c r="E121" s="20" t="s">
        <v>264</v>
      </c>
      <c r="F121" s="17"/>
      <c r="G121" s="17">
        <v>5000</v>
      </c>
      <c r="H121" s="16">
        <f t="shared" si="78"/>
        <v>0</v>
      </c>
      <c r="I121" s="19"/>
      <c r="J121" s="20" t="s">
        <v>298</v>
      </c>
      <c r="K121" s="20"/>
      <c r="L121" s="20">
        <v>50000</v>
      </c>
      <c r="M121" s="16">
        <f t="shared" si="79"/>
        <v>0</v>
      </c>
      <c r="N121" s="17"/>
      <c r="O121" s="20" t="s">
        <v>165</v>
      </c>
      <c r="P121" s="21"/>
      <c r="Q121" s="19">
        <v>250</v>
      </c>
      <c r="R121" s="16">
        <f t="shared" si="80"/>
        <v>0</v>
      </c>
      <c r="S121" s="20"/>
      <c r="T121" s="20" t="s">
        <v>84</v>
      </c>
      <c r="U121" s="20"/>
      <c r="V121" s="16">
        <v>100</v>
      </c>
      <c r="W121" s="16">
        <f t="shared" si="81"/>
        <v>0</v>
      </c>
      <c r="X121" s="16"/>
      <c r="Y121" s="16"/>
      <c r="Z121" s="16"/>
      <c r="AA121" s="16"/>
      <c r="AB121" s="16">
        <f t="shared" si="82"/>
        <v>0</v>
      </c>
      <c r="AC121" s="20"/>
      <c r="AD121" s="20" t="s">
        <v>570</v>
      </c>
      <c r="AE121" s="20"/>
      <c r="AF121" s="16">
        <v>90000</v>
      </c>
      <c r="AG121" s="16">
        <f t="shared" si="83"/>
        <v>0</v>
      </c>
      <c r="AH121" s="16"/>
      <c r="AI121" s="16" t="s">
        <v>373</v>
      </c>
      <c r="AJ121" s="22"/>
      <c r="AK121" s="19">
        <v>85000</v>
      </c>
      <c r="AL121" s="16">
        <f t="shared" si="84"/>
        <v>0</v>
      </c>
      <c r="AM121" s="16"/>
      <c r="AN121" s="16"/>
      <c r="AO121" s="16"/>
      <c r="AP121" s="16"/>
      <c r="AQ121" s="16">
        <f t="shared" si="85"/>
        <v>0</v>
      </c>
      <c r="AR121" s="16"/>
      <c r="AS121" s="16" t="s">
        <v>571</v>
      </c>
      <c r="AT121" s="16"/>
      <c r="AU121" s="16">
        <v>20000</v>
      </c>
      <c r="AV121" s="16">
        <f t="shared" si="86"/>
        <v>0</v>
      </c>
      <c r="AW121" s="16"/>
      <c r="AX121" s="16"/>
      <c r="AY121" s="16"/>
      <c r="AZ121" s="16"/>
      <c r="BA121" s="16">
        <f t="shared" si="87"/>
        <v>0</v>
      </c>
      <c r="BB121" s="20"/>
      <c r="BC121" s="20" t="s">
        <v>129</v>
      </c>
      <c r="BD121" s="17"/>
      <c r="BE121" s="17">
        <v>5000</v>
      </c>
      <c r="BF121" s="16">
        <f t="shared" si="88"/>
        <v>0</v>
      </c>
      <c r="BG121" s="20"/>
      <c r="BH121" s="20" t="s">
        <v>98</v>
      </c>
      <c r="BI121" s="20"/>
      <c r="BJ121" s="24">
        <v>1550</v>
      </c>
      <c r="BK121" s="16">
        <f t="shared" si="89"/>
        <v>0</v>
      </c>
      <c r="BL121" s="16"/>
      <c r="BM121" s="16" t="s">
        <v>572</v>
      </c>
      <c r="BN121" s="16"/>
      <c r="BO121" s="16">
        <v>85000</v>
      </c>
      <c r="BP121" s="16">
        <f t="shared" si="90"/>
        <v>0</v>
      </c>
      <c r="BQ121" s="16"/>
      <c r="BR121" s="16"/>
      <c r="BS121" s="16"/>
      <c r="BT121" s="16"/>
      <c r="BU121" s="16">
        <f t="shared" si="91"/>
        <v>0</v>
      </c>
      <c r="BV121" s="16"/>
      <c r="BW121" s="16"/>
      <c r="BX121" s="16"/>
      <c r="BY121" s="16"/>
      <c r="BZ121" s="16">
        <f t="shared" si="92"/>
        <v>0</v>
      </c>
      <c r="CA121" s="16"/>
      <c r="CB121" s="16"/>
      <c r="CC121" s="16"/>
      <c r="CD121" s="16"/>
      <c r="CE121" s="16">
        <f t="shared" si="93"/>
        <v>0</v>
      </c>
      <c r="CF121" s="16"/>
      <c r="CG121" s="16" t="s">
        <v>81</v>
      </c>
      <c r="CH121" s="16"/>
      <c r="CI121" s="23">
        <v>7500</v>
      </c>
      <c r="CJ121" s="23">
        <f t="shared" si="94"/>
        <v>0</v>
      </c>
      <c r="CK121" s="20"/>
      <c r="CL121" s="20"/>
      <c r="CM121" s="20"/>
      <c r="CN121" s="20"/>
      <c r="CO121" s="23">
        <f t="shared" si="95"/>
        <v>0</v>
      </c>
      <c r="CP121" s="16"/>
      <c r="CQ121" s="16" t="s">
        <v>573</v>
      </c>
      <c r="CR121" s="16"/>
      <c r="CS121" s="16">
        <v>1000</v>
      </c>
      <c r="CT121" s="23">
        <f t="shared" si="96"/>
        <v>0</v>
      </c>
      <c r="CU121" s="20"/>
      <c r="CV121" s="20" t="s">
        <v>188</v>
      </c>
      <c r="CW121" s="20"/>
      <c r="CX121" s="20">
        <v>250</v>
      </c>
      <c r="CY121" s="23">
        <f t="shared" si="97"/>
        <v>0</v>
      </c>
      <c r="CZ121" s="20"/>
      <c r="DA121" s="20" t="s">
        <v>83</v>
      </c>
      <c r="DB121" s="20"/>
      <c r="DC121" s="20">
        <v>450</v>
      </c>
      <c r="DD121" s="23">
        <f t="shared" si="98"/>
        <v>0</v>
      </c>
      <c r="DE121" s="16"/>
      <c r="DF121" s="20" t="s">
        <v>574</v>
      </c>
      <c r="DG121" s="20"/>
      <c r="DH121" s="20">
        <v>10000</v>
      </c>
      <c r="DI121" s="16">
        <f t="shared" si="103"/>
        <v>0</v>
      </c>
      <c r="DJ121" s="20"/>
      <c r="DK121" s="20" t="s">
        <v>88</v>
      </c>
      <c r="DL121" s="20"/>
      <c r="DM121" s="20">
        <v>2500</v>
      </c>
      <c r="DN121" s="16">
        <f t="shared" si="100"/>
        <v>0</v>
      </c>
      <c r="DO121" s="20"/>
      <c r="DP121" s="20" t="s">
        <v>215</v>
      </c>
      <c r="DQ121" s="20"/>
      <c r="DR121" s="20">
        <v>7000</v>
      </c>
      <c r="DS121" s="16">
        <f t="shared" si="101"/>
        <v>0</v>
      </c>
      <c r="DT121" s="20"/>
      <c r="DU121" s="20" t="s">
        <v>575</v>
      </c>
      <c r="DV121" s="20"/>
      <c r="DW121" s="20">
        <v>250</v>
      </c>
      <c r="DX121" s="24">
        <f t="shared" si="102"/>
        <v>0</v>
      </c>
    </row>
    <row r="122" spans="1:128" s="2" customFormat="1" x14ac:dyDescent="0.3">
      <c r="A122" s="20"/>
      <c r="B122" s="16" t="str">
        <f>DF99</f>
        <v>GIZI</v>
      </c>
      <c r="C122" s="16">
        <f>DI128</f>
        <v>0</v>
      </c>
      <c r="D122" s="17"/>
      <c r="E122" s="20" t="s">
        <v>232</v>
      </c>
      <c r="F122" s="17"/>
      <c r="G122" s="17">
        <v>9000</v>
      </c>
      <c r="H122" s="16">
        <f t="shared" si="78"/>
        <v>0</v>
      </c>
      <c r="I122" s="19"/>
      <c r="J122" s="20" t="s">
        <v>90</v>
      </c>
      <c r="K122" s="20"/>
      <c r="L122" s="20">
        <v>7000</v>
      </c>
      <c r="M122" s="16">
        <f t="shared" si="79"/>
        <v>0</v>
      </c>
      <c r="N122" s="17"/>
      <c r="O122" s="20" t="s">
        <v>385</v>
      </c>
      <c r="P122" s="21"/>
      <c r="Q122" s="19">
        <v>5000</v>
      </c>
      <c r="R122" s="16">
        <f t="shared" si="80"/>
        <v>0</v>
      </c>
      <c r="S122" s="20"/>
      <c r="T122" s="20" t="s">
        <v>147</v>
      </c>
      <c r="U122" s="20"/>
      <c r="V122" s="16">
        <v>250</v>
      </c>
      <c r="W122" s="16">
        <f t="shared" si="81"/>
        <v>0</v>
      </c>
      <c r="X122" s="16"/>
      <c r="Y122" s="16"/>
      <c r="Z122" s="16"/>
      <c r="AA122" s="16"/>
      <c r="AB122" s="16">
        <f t="shared" si="82"/>
        <v>0</v>
      </c>
      <c r="AC122" s="20"/>
      <c r="AD122" s="20" t="s">
        <v>50</v>
      </c>
      <c r="AE122" s="20"/>
      <c r="AF122" s="20">
        <v>26500</v>
      </c>
      <c r="AG122" s="16">
        <f t="shared" si="83"/>
        <v>0</v>
      </c>
      <c r="AH122" s="16"/>
      <c r="AI122" s="16" t="s">
        <v>62</v>
      </c>
      <c r="AJ122" s="22"/>
      <c r="AK122" s="19">
        <v>7000</v>
      </c>
      <c r="AL122" s="16">
        <f t="shared" si="84"/>
        <v>0</v>
      </c>
      <c r="AM122" s="16"/>
      <c r="AN122" s="16"/>
      <c r="AO122" s="16"/>
      <c r="AP122" s="16"/>
      <c r="AQ122" s="16">
        <f t="shared" si="85"/>
        <v>0</v>
      </c>
      <c r="AR122" s="16"/>
      <c r="AS122" s="16"/>
      <c r="AT122" s="16"/>
      <c r="AU122" s="16"/>
      <c r="AV122" s="16">
        <f t="shared" si="86"/>
        <v>0</v>
      </c>
      <c r="AW122" s="16"/>
      <c r="AX122" s="16"/>
      <c r="AY122" s="16"/>
      <c r="AZ122" s="16"/>
      <c r="BA122" s="16">
        <f t="shared" si="87"/>
        <v>0</v>
      </c>
      <c r="BB122" s="20"/>
      <c r="BC122" s="20" t="s">
        <v>147</v>
      </c>
      <c r="BD122" s="17"/>
      <c r="BE122" s="17">
        <v>250</v>
      </c>
      <c r="BF122" s="16">
        <f t="shared" si="88"/>
        <v>0</v>
      </c>
      <c r="BG122" s="20"/>
      <c r="BH122" s="20" t="s">
        <v>51</v>
      </c>
      <c r="BI122" s="20"/>
      <c r="BJ122" s="24">
        <v>100</v>
      </c>
      <c r="BK122" s="16">
        <f t="shared" si="89"/>
        <v>0</v>
      </c>
      <c r="BL122" s="16"/>
      <c r="BM122" s="16" t="s">
        <v>164</v>
      </c>
      <c r="BN122" s="16"/>
      <c r="BO122" s="16">
        <v>15000</v>
      </c>
      <c r="BP122" s="16">
        <f t="shared" si="90"/>
        <v>0</v>
      </c>
      <c r="BQ122" s="16"/>
      <c r="BR122" s="16"/>
      <c r="BS122" s="16"/>
      <c r="BT122" s="16"/>
      <c r="BU122" s="16">
        <f t="shared" si="91"/>
        <v>0</v>
      </c>
      <c r="BV122" s="16"/>
      <c r="BW122" s="16"/>
      <c r="BX122" s="16"/>
      <c r="BY122" s="16"/>
      <c r="BZ122" s="16">
        <f t="shared" si="92"/>
        <v>0</v>
      </c>
      <c r="CA122" s="16"/>
      <c r="CB122" s="16"/>
      <c r="CC122" s="16"/>
      <c r="CD122" s="16"/>
      <c r="CE122" s="16">
        <f t="shared" si="93"/>
        <v>0</v>
      </c>
      <c r="CF122" s="16"/>
      <c r="CG122" s="16" t="s">
        <v>57</v>
      </c>
      <c r="CH122" s="16"/>
      <c r="CI122" s="23">
        <v>4000</v>
      </c>
      <c r="CJ122" s="23">
        <f t="shared" si="94"/>
        <v>0</v>
      </c>
      <c r="CK122" s="20"/>
      <c r="CL122" s="20"/>
      <c r="CM122" s="20"/>
      <c r="CN122" s="20"/>
      <c r="CO122" s="23">
        <f t="shared" si="95"/>
        <v>0</v>
      </c>
      <c r="CP122" s="16"/>
      <c r="CQ122" s="16" t="s">
        <v>534</v>
      </c>
      <c r="CR122" s="16"/>
      <c r="CS122" s="16">
        <v>15000</v>
      </c>
      <c r="CT122" s="23">
        <f t="shared" si="96"/>
        <v>0</v>
      </c>
      <c r="CU122" s="20"/>
      <c r="CV122" s="16" t="s">
        <v>201</v>
      </c>
      <c r="CW122" s="16"/>
      <c r="CX122" s="16">
        <v>3500</v>
      </c>
      <c r="CY122" s="23">
        <f t="shared" si="97"/>
        <v>0</v>
      </c>
      <c r="CZ122" s="20"/>
      <c r="DA122" s="20" t="s">
        <v>576</v>
      </c>
      <c r="DB122" s="20"/>
      <c r="DC122" s="20"/>
      <c r="DD122" s="23">
        <f t="shared" si="98"/>
        <v>0</v>
      </c>
      <c r="DE122" s="16"/>
      <c r="DF122" s="20" t="s">
        <v>185</v>
      </c>
      <c r="DG122" s="20"/>
      <c r="DH122" s="20">
        <v>5000</v>
      </c>
      <c r="DI122" s="16">
        <f t="shared" si="103"/>
        <v>0</v>
      </c>
      <c r="DJ122" s="20"/>
      <c r="DK122" s="20" t="s">
        <v>65</v>
      </c>
      <c r="DL122" s="20"/>
      <c r="DM122" s="20">
        <v>950</v>
      </c>
      <c r="DN122" s="16">
        <f t="shared" si="100"/>
        <v>0</v>
      </c>
      <c r="DO122" s="20"/>
      <c r="DP122" s="20" t="s">
        <v>298</v>
      </c>
      <c r="DQ122" s="20"/>
      <c r="DR122" s="20">
        <v>50000</v>
      </c>
      <c r="DS122" s="16">
        <f t="shared" si="101"/>
        <v>0</v>
      </c>
      <c r="DT122" s="20"/>
      <c r="DU122" s="20" t="s">
        <v>577</v>
      </c>
      <c r="DV122" s="20"/>
      <c r="DW122" s="20">
        <v>15000</v>
      </c>
      <c r="DX122" s="24">
        <f t="shared" si="102"/>
        <v>0</v>
      </c>
    </row>
    <row r="123" spans="1:128" s="2" customFormat="1" x14ac:dyDescent="0.3">
      <c r="A123" s="20"/>
      <c r="B123" s="16" t="str">
        <f>DK99</f>
        <v>MADINAH 3</v>
      </c>
      <c r="C123" s="16">
        <f>DN128</f>
        <v>0</v>
      </c>
      <c r="D123" s="17"/>
      <c r="E123" s="20" t="s">
        <v>578</v>
      </c>
      <c r="F123" s="17"/>
      <c r="G123" s="17">
        <v>7000</v>
      </c>
      <c r="H123" s="16">
        <f t="shared" si="78"/>
        <v>0</v>
      </c>
      <c r="I123" s="19"/>
      <c r="J123" s="16" t="s">
        <v>579</v>
      </c>
      <c r="K123" s="27"/>
      <c r="L123" s="19">
        <v>250</v>
      </c>
      <c r="M123" s="16">
        <f t="shared" si="79"/>
        <v>0</v>
      </c>
      <c r="N123" s="17"/>
      <c r="O123" s="18" t="s">
        <v>38</v>
      </c>
      <c r="P123" s="17"/>
      <c r="Q123" s="17">
        <v>50000</v>
      </c>
      <c r="R123" s="16">
        <f t="shared" si="80"/>
        <v>0</v>
      </c>
      <c r="S123" s="20"/>
      <c r="T123" s="20" t="s">
        <v>221</v>
      </c>
      <c r="U123" s="20"/>
      <c r="V123" s="16">
        <v>250</v>
      </c>
      <c r="W123" s="16">
        <f t="shared" si="81"/>
        <v>0</v>
      </c>
      <c r="X123" s="16"/>
      <c r="Y123" s="16"/>
      <c r="Z123" s="16"/>
      <c r="AA123" s="16"/>
      <c r="AB123" s="16">
        <f t="shared" si="82"/>
        <v>0</v>
      </c>
      <c r="AC123" s="20"/>
      <c r="AD123" s="20" t="s">
        <v>274</v>
      </c>
      <c r="AE123" s="20"/>
      <c r="AF123" s="20">
        <v>26500</v>
      </c>
      <c r="AG123" s="16">
        <f t="shared" si="83"/>
        <v>0</v>
      </c>
      <c r="AH123" s="16"/>
      <c r="AI123" s="16" t="s">
        <v>262</v>
      </c>
      <c r="AJ123" s="22"/>
      <c r="AK123" s="19">
        <v>10000</v>
      </c>
      <c r="AL123" s="16">
        <f t="shared" si="84"/>
        <v>0</v>
      </c>
      <c r="AM123" s="16"/>
      <c r="AN123" s="16"/>
      <c r="AO123" s="16"/>
      <c r="AP123" s="16"/>
      <c r="AQ123" s="16">
        <f t="shared" si="85"/>
        <v>0</v>
      </c>
      <c r="AR123" s="16"/>
      <c r="AS123" s="16"/>
      <c r="AT123" s="16"/>
      <c r="AU123" s="16"/>
      <c r="AV123" s="16">
        <f t="shared" si="86"/>
        <v>0</v>
      </c>
      <c r="AW123" s="16"/>
      <c r="AX123" s="16"/>
      <c r="AY123" s="16"/>
      <c r="AZ123" s="16"/>
      <c r="BA123" s="16">
        <f t="shared" si="87"/>
        <v>0</v>
      </c>
      <c r="BB123" s="20"/>
      <c r="BC123" s="20" t="s">
        <v>481</v>
      </c>
      <c r="BD123" s="17"/>
      <c r="BE123" s="17">
        <v>250</v>
      </c>
      <c r="BF123" s="16">
        <f t="shared" si="88"/>
        <v>0</v>
      </c>
      <c r="BG123" s="20"/>
      <c r="BH123" s="20" t="s">
        <v>516</v>
      </c>
      <c r="BI123" s="20"/>
      <c r="BJ123" s="20">
        <v>15000</v>
      </c>
      <c r="BK123" s="16">
        <f t="shared" si="89"/>
        <v>0</v>
      </c>
      <c r="BL123" s="16"/>
      <c r="BM123" s="16" t="s">
        <v>197</v>
      </c>
      <c r="BN123" s="16"/>
      <c r="BO123" s="16">
        <v>15000</v>
      </c>
      <c r="BP123" s="16">
        <f t="shared" si="90"/>
        <v>0</v>
      </c>
      <c r="BQ123" s="16"/>
      <c r="BR123" s="16"/>
      <c r="BS123" s="16"/>
      <c r="BT123" s="16"/>
      <c r="BU123" s="16">
        <f t="shared" si="91"/>
        <v>0</v>
      </c>
      <c r="BV123" s="16"/>
      <c r="BW123" s="16"/>
      <c r="BX123" s="16"/>
      <c r="BY123" s="16"/>
      <c r="BZ123" s="16">
        <f t="shared" si="92"/>
        <v>0</v>
      </c>
      <c r="CA123" s="16"/>
      <c r="CB123" s="16"/>
      <c r="CC123" s="16"/>
      <c r="CD123" s="16"/>
      <c r="CE123" s="16">
        <f t="shared" si="93"/>
        <v>0</v>
      </c>
      <c r="CF123" s="16"/>
      <c r="CG123" s="16" t="s">
        <v>422</v>
      </c>
      <c r="CH123" s="27"/>
      <c r="CI123" s="16">
        <v>9000</v>
      </c>
      <c r="CJ123" s="23">
        <f t="shared" si="94"/>
        <v>0</v>
      </c>
      <c r="CK123" s="20"/>
      <c r="CL123" s="20"/>
      <c r="CM123" s="20"/>
      <c r="CN123" s="20"/>
      <c r="CO123" s="23">
        <f t="shared" si="95"/>
        <v>0</v>
      </c>
      <c r="CP123" s="16"/>
      <c r="CQ123" s="16" t="s">
        <v>164</v>
      </c>
      <c r="CR123" s="16"/>
      <c r="CS123" s="16">
        <v>15000</v>
      </c>
      <c r="CT123" s="23">
        <f t="shared" si="96"/>
        <v>0</v>
      </c>
      <c r="CU123" s="20"/>
      <c r="CV123" s="16" t="s">
        <v>560</v>
      </c>
      <c r="CW123" s="27"/>
      <c r="CX123" s="19">
        <v>250</v>
      </c>
      <c r="CY123" s="23">
        <f t="shared" si="97"/>
        <v>0</v>
      </c>
      <c r="CZ123" s="20"/>
      <c r="DA123" s="20" t="s">
        <v>580</v>
      </c>
      <c r="DB123" s="20"/>
      <c r="DC123" s="20">
        <v>1500</v>
      </c>
      <c r="DD123" s="23">
        <f t="shared" si="98"/>
        <v>0</v>
      </c>
      <c r="DE123" s="16"/>
      <c r="DF123" s="16"/>
      <c r="DG123" s="16"/>
      <c r="DH123" s="16"/>
      <c r="DI123" s="16">
        <f t="shared" si="103"/>
        <v>0</v>
      </c>
      <c r="DJ123" s="20"/>
      <c r="DK123" s="20" t="s">
        <v>164</v>
      </c>
      <c r="DL123" s="17"/>
      <c r="DM123" s="17">
        <v>15000</v>
      </c>
      <c r="DN123" s="16">
        <f t="shared" si="100"/>
        <v>0</v>
      </c>
      <c r="DO123" s="20"/>
      <c r="DP123" s="20" t="s">
        <v>147</v>
      </c>
      <c r="DQ123" s="20"/>
      <c r="DR123" s="20">
        <v>250</v>
      </c>
      <c r="DS123" s="16">
        <f t="shared" si="101"/>
        <v>0</v>
      </c>
      <c r="DT123" s="20"/>
      <c r="DU123" s="20" t="s">
        <v>90</v>
      </c>
      <c r="DV123" s="20"/>
      <c r="DW123" s="20">
        <v>7000</v>
      </c>
      <c r="DX123" s="24">
        <f t="shared" si="102"/>
        <v>0</v>
      </c>
    </row>
    <row r="124" spans="1:128" s="2" customFormat="1" x14ac:dyDescent="0.3">
      <c r="A124" s="20"/>
      <c r="B124" s="16" t="str">
        <f>DP99</f>
        <v>AROFAH</v>
      </c>
      <c r="C124" s="16">
        <f>DS128</f>
        <v>0</v>
      </c>
      <c r="D124" s="17"/>
      <c r="E124" s="20" t="s">
        <v>252</v>
      </c>
      <c r="F124" s="17"/>
      <c r="G124" s="17">
        <v>8500</v>
      </c>
      <c r="H124" s="16">
        <f t="shared" si="78"/>
        <v>0</v>
      </c>
      <c r="I124" s="19"/>
      <c r="J124" s="16" t="s">
        <v>211</v>
      </c>
      <c r="K124" s="27"/>
      <c r="L124" s="19">
        <v>250</v>
      </c>
      <c r="M124" s="16">
        <f t="shared" si="79"/>
        <v>0</v>
      </c>
      <c r="N124" s="17"/>
      <c r="O124" s="20" t="s">
        <v>581</v>
      </c>
      <c r="P124" s="21"/>
      <c r="Q124" s="19">
        <v>250</v>
      </c>
      <c r="R124" s="16">
        <f t="shared" si="80"/>
        <v>0</v>
      </c>
      <c r="S124" s="20"/>
      <c r="T124" s="20" t="s">
        <v>322</v>
      </c>
      <c r="U124" s="20"/>
      <c r="V124" s="20">
        <v>20000</v>
      </c>
      <c r="W124" s="16">
        <f t="shared" si="81"/>
        <v>0</v>
      </c>
      <c r="X124" s="16"/>
      <c r="Y124" s="16"/>
      <c r="Z124" s="16"/>
      <c r="AA124" s="16"/>
      <c r="AB124" s="16">
        <f t="shared" si="82"/>
        <v>0</v>
      </c>
      <c r="AC124" s="20"/>
      <c r="AD124" s="16" t="s">
        <v>189</v>
      </c>
      <c r="AE124" s="22"/>
      <c r="AF124" s="19">
        <v>17000</v>
      </c>
      <c r="AG124" s="16">
        <f t="shared" si="83"/>
        <v>0</v>
      </c>
      <c r="AH124" s="16"/>
      <c r="AI124" s="16" t="s">
        <v>330</v>
      </c>
      <c r="AJ124" s="16"/>
      <c r="AK124" s="16">
        <v>85000</v>
      </c>
      <c r="AL124" s="16">
        <f t="shared" si="84"/>
        <v>0</v>
      </c>
      <c r="AM124" s="16"/>
      <c r="AN124" s="16"/>
      <c r="AO124" s="16"/>
      <c r="AP124" s="16"/>
      <c r="AQ124" s="16">
        <f t="shared" si="85"/>
        <v>0</v>
      </c>
      <c r="AR124" s="16"/>
      <c r="AS124" s="16"/>
      <c r="AT124" s="16"/>
      <c r="AU124" s="16"/>
      <c r="AV124" s="16">
        <f t="shared" si="86"/>
        <v>0</v>
      </c>
      <c r="AW124" s="16"/>
      <c r="AX124" s="16"/>
      <c r="AY124" s="16"/>
      <c r="AZ124" s="16"/>
      <c r="BA124" s="16">
        <f t="shared" si="87"/>
        <v>0</v>
      </c>
      <c r="BB124" s="20"/>
      <c r="BC124" s="20" t="s">
        <v>270</v>
      </c>
      <c r="BD124" s="17"/>
      <c r="BE124" s="17">
        <v>4000</v>
      </c>
      <c r="BF124" s="16">
        <f t="shared" si="88"/>
        <v>0</v>
      </c>
      <c r="BG124" s="20"/>
      <c r="BH124" s="20" t="s">
        <v>53</v>
      </c>
      <c r="BI124" s="20"/>
      <c r="BJ124" s="20">
        <v>1000</v>
      </c>
      <c r="BK124" s="16">
        <f t="shared" si="89"/>
        <v>0</v>
      </c>
      <c r="BL124" s="16"/>
      <c r="BM124" s="20" t="s">
        <v>203</v>
      </c>
      <c r="BN124" s="20"/>
      <c r="BO124" s="20">
        <v>10000</v>
      </c>
      <c r="BP124" s="16">
        <f t="shared" si="90"/>
        <v>0</v>
      </c>
      <c r="BQ124" s="16"/>
      <c r="BR124" s="16"/>
      <c r="BS124" s="16"/>
      <c r="BT124" s="16"/>
      <c r="BU124" s="16">
        <f t="shared" si="91"/>
        <v>0</v>
      </c>
      <c r="BV124" s="16"/>
      <c r="BW124" s="16"/>
      <c r="BX124" s="16"/>
      <c r="BY124" s="16"/>
      <c r="BZ124" s="16">
        <f t="shared" si="92"/>
        <v>0</v>
      </c>
      <c r="CA124" s="16"/>
      <c r="CB124" s="16"/>
      <c r="CC124" s="16"/>
      <c r="CD124" s="16"/>
      <c r="CE124" s="16">
        <f t="shared" si="93"/>
        <v>0</v>
      </c>
      <c r="CF124" s="16"/>
      <c r="CG124" s="16" t="s">
        <v>195</v>
      </c>
      <c r="CH124" s="16"/>
      <c r="CI124" s="16">
        <v>2500</v>
      </c>
      <c r="CJ124" s="23">
        <f t="shared" si="94"/>
        <v>0</v>
      </c>
      <c r="CK124" s="20"/>
      <c r="CL124" s="20"/>
      <c r="CM124" s="20"/>
      <c r="CN124" s="20"/>
      <c r="CO124" s="23">
        <f t="shared" si="95"/>
        <v>0</v>
      </c>
      <c r="CP124" s="16"/>
      <c r="CQ124" s="16" t="s">
        <v>74</v>
      </c>
      <c r="CR124" s="16"/>
      <c r="CS124" s="16">
        <v>3500</v>
      </c>
      <c r="CT124" s="23">
        <f t="shared" si="96"/>
        <v>0</v>
      </c>
      <c r="CU124" s="20"/>
      <c r="CV124" s="20" t="s">
        <v>582</v>
      </c>
      <c r="CW124" s="16"/>
      <c r="CX124" s="16">
        <v>1000</v>
      </c>
      <c r="CY124" s="23">
        <f t="shared" si="97"/>
        <v>0</v>
      </c>
      <c r="CZ124" s="20"/>
      <c r="DA124" s="20" t="s">
        <v>152</v>
      </c>
      <c r="DB124" s="20"/>
      <c r="DC124" s="20">
        <v>3000</v>
      </c>
      <c r="DD124" s="23">
        <f t="shared" si="98"/>
        <v>0</v>
      </c>
      <c r="DE124" s="16"/>
      <c r="DF124" s="16"/>
      <c r="DG124" s="16"/>
      <c r="DH124" s="16"/>
      <c r="DI124" s="16">
        <f t="shared" si="103"/>
        <v>0</v>
      </c>
      <c r="DJ124" s="20"/>
      <c r="DK124" s="20" t="s">
        <v>197</v>
      </c>
      <c r="DL124" s="17"/>
      <c r="DM124" s="17">
        <v>15000</v>
      </c>
      <c r="DN124" s="16">
        <f t="shared" si="100"/>
        <v>0</v>
      </c>
      <c r="DO124" s="20"/>
      <c r="DP124" s="20" t="s">
        <v>583</v>
      </c>
      <c r="DQ124" s="20"/>
      <c r="DR124" s="20">
        <v>3500</v>
      </c>
      <c r="DS124" s="16">
        <f t="shared" si="101"/>
        <v>0</v>
      </c>
      <c r="DT124" s="20"/>
      <c r="DU124" s="20" t="s">
        <v>584</v>
      </c>
      <c r="DV124" s="20"/>
      <c r="DW124" s="20">
        <v>250</v>
      </c>
      <c r="DX124" s="24">
        <f t="shared" si="102"/>
        <v>0</v>
      </c>
    </row>
    <row r="125" spans="1:128" s="2" customFormat="1" x14ac:dyDescent="0.3">
      <c r="A125" s="20"/>
      <c r="B125" s="16" t="s">
        <v>30</v>
      </c>
      <c r="C125" s="16">
        <f>DX128</f>
        <v>0</v>
      </c>
      <c r="D125" s="17"/>
      <c r="E125" s="20" t="s">
        <v>169</v>
      </c>
      <c r="F125" s="17"/>
      <c r="G125" s="17">
        <v>5000</v>
      </c>
      <c r="H125" s="16">
        <f t="shared" si="78"/>
        <v>0</v>
      </c>
      <c r="I125" s="19"/>
      <c r="J125" s="16" t="s">
        <v>422</v>
      </c>
      <c r="K125" s="27"/>
      <c r="L125" s="16">
        <v>9000</v>
      </c>
      <c r="M125" s="16">
        <f t="shared" si="79"/>
        <v>0</v>
      </c>
      <c r="N125" s="17"/>
      <c r="O125" s="20" t="s">
        <v>65</v>
      </c>
      <c r="P125" s="17"/>
      <c r="Q125" s="17">
        <v>950</v>
      </c>
      <c r="R125" s="16">
        <f t="shared" si="80"/>
        <v>0</v>
      </c>
      <c r="S125" s="20"/>
      <c r="T125" s="16" t="s">
        <v>585</v>
      </c>
      <c r="U125" s="16"/>
      <c r="V125" s="16">
        <v>70000</v>
      </c>
      <c r="W125" s="16">
        <f t="shared" si="81"/>
        <v>0</v>
      </c>
      <c r="X125" s="16"/>
      <c r="Y125" s="16"/>
      <c r="Z125" s="16"/>
      <c r="AA125" s="16"/>
      <c r="AB125" s="16">
        <f t="shared" si="82"/>
        <v>0</v>
      </c>
      <c r="AC125" s="20"/>
      <c r="AD125" s="20" t="s">
        <v>242</v>
      </c>
      <c r="AE125" s="20"/>
      <c r="AF125" s="20">
        <v>8500</v>
      </c>
      <c r="AG125" s="16">
        <f t="shared" si="83"/>
        <v>0</v>
      </c>
      <c r="AH125" s="16"/>
      <c r="AI125" s="16" t="s">
        <v>586</v>
      </c>
      <c r="AJ125" s="16"/>
      <c r="AK125" s="16">
        <v>85000</v>
      </c>
      <c r="AL125" s="16">
        <f t="shared" si="84"/>
        <v>0</v>
      </c>
      <c r="AM125" s="16"/>
      <c r="AN125" s="16"/>
      <c r="AO125" s="16"/>
      <c r="AP125" s="16"/>
      <c r="AQ125" s="16">
        <f t="shared" si="85"/>
        <v>0</v>
      </c>
      <c r="AR125" s="16"/>
      <c r="AS125" s="16"/>
      <c r="AT125" s="16"/>
      <c r="AU125" s="16"/>
      <c r="AV125" s="16">
        <f t="shared" si="86"/>
        <v>0</v>
      </c>
      <c r="AW125" s="16"/>
      <c r="AX125" s="16"/>
      <c r="AY125" s="16"/>
      <c r="AZ125" s="16"/>
      <c r="BA125" s="16">
        <f t="shared" si="87"/>
        <v>0</v>
      </c>
      <c r="BB125" s="20"/>
      <c r="BC125" s="20" t="s">
        <v>164</v>
      </c>
      <c r="BD125" s="17"/>
      <c r="BE125" s="17">
        <v>15000</v>
      </c>
      <c r="BF125" s="16">
        <f t="shared" si="88"/>
        <v>0</v>
      </c>
      <c r="BG125" s="20"/>
      <c r="BH125" s="20" t="s">
        <v>268</v>
      </c>
      <c r="BI125" s="20"/>
      <c r="BJ125" s="16">
        <v>57000</v>
      </c>
      <c r="BK125" s="16">
        <f t="shared" si="89"/>
        <v>0</v>
      </c>
      <c r="BL125" s="16"/>
      <c r="BM125" s="20" t="s">
        <v>301</v>
      </c>
      <c r="BN125" s="20"/>
      <c r="BO125" s="20">
        <v>35000</v>
      </c>
      <c r="BP125" s="16">
        <f t="shared" si="90"/>
        <v>0</v>
      </c>
      <c r="BQ125" s="16"/>
      <c r="BR125" s="16"/>
      <c r="BS125" s="16"/>
      <c r="BT125" s="16"/>
      <c r="BU125" s="16">
        <f t="shared" si="91"/>
        <v>0</v>
      </c>
      <c r="BV125" s="16"/>
      <c r="BW125" s="16"/>
      <c r="BX125" s="16"/>
      <c r="BY125" s="16"/>
      <c r="BZ125" s="16">
        <f t="shared" si="92"/>
        <v>0</v>
      </c>
      <c r="CA125" s="16"/>
      <c r="CB125" s="16"/>
      <c r="CC125" s="16"/>
      <c r="CD125" s="16"/>
      <c r="CE125" s="16">
        <f t="shared" si="93"/>
        <v>0</v>
      </c>
      <c r="CF125" s="16"/>
      <c r="CG125" s="16" t="s">
        <v>201</v>
      </c>
      <c r="CH125" s="16"/>
      <c r="CI125" s="16">
        <v>3500</v>
      </c>
      <c r="CJ125" s="23">
        <f t="shared" si="94"/>
        <v>0</v>
      </c>
      <c r="CK125" s="20"/>
      <c r="CL125" s="20"/>
      <c r="CM125" s="20"/>
      <c r="CN125" s="20"/>
      <c r="CO125" s="23">
        <f t="shared" si="95"/>
        <v>0</v>
      </c>
      <c r="CP125" s="16"/>
      <c r="CQ125" s="16" t="s">
        <v>86</v>
      </c>
      <c r="CR125" s="16"/>
      <c r="CS125" s="16">
        <v>2500</v>
      </c>
      <c r="CT125" s="23">
        <f t="shared" si="96"/>
        <v>0</v>
      </c>
      <c r="CU125" s="20"/>
      <c r="CV125" s="20" t="s">
        <v>587</v>
      </c>
      <c r="CW125" s="16"/>
      <c r="CX125" s="16">
        <v>1000</v>
      </c>
      <c r="CY125" s="23">
        <f t="shared" si="97"/>
        <v>0</v>
      </c>
      <c r="CZ125" s="20"/>
      <c r="DA125" s="20" t="s">
        <v>198</v>
      </c>
      <c r="DB125" s="20"/>
      <c r="DC125" s="20">
        <v>22000</v>
      </c>
      <c r="DD125" s="23">
        <f t="shared" si="98"/>
        <v>0</v>
      </c>
      <c r="DE125" s="16"/>
      <c r="DF125" s="16"/>
      <c r="DG125" s="16"/>
      <c r="DH125" s="16"/>
      <c r="DI125" s="16">
        <f t="shared" si="103"/>
        <v>0</v>
      </c>
      <c r="DJ125" s="20"/>
      <c r="DK125" s="20" t="s">
        <v>198</v>
      </c>
      <c r="DL125" s="20"/>
      <c r="DM125" s="20">
        <v>22000</v>
      </c>
      <c r="DN125" s="16">
        <f t="shared" si="100"/>
        <v>0</v>
      </c>
      <c r="DO125" s="20"/>
      <c r="DP125" s="20" t="s">
        <v>53</v>
      </c>
      <c r="DQ125" s="20"/>
      <c r="DR125" s="20">
        <v>1000</v>
      </c>
      <c r="DS125" s="16">
        <f t="shared" si="101"/>
        <v>0</v>
      </c>
      <c r="DT125" s="20"/>
      <c r="DU125" s="20" t="s">
        <v>588</v>
      </c>
      <c r="DV125" s="20"/>
      <c r="DW125" s="20">
        <v>250</v>
      </c>
      <c r="DX125" s="24">
        <f t="shared" si="102"/>
        <v>0</v>
      </c>
    </row>
    <row r="126" spans="1:128" s="2" customFormat="1" x14ac:dyDescent="0.3">
      <c r="A126" s="20"/>
      <c r="B126" s="16"/>
      <c r="C126" s="16"/>
      <c r="D126" s="17"/>
      <c r="E126" s="16" t="s">
        <v>422</v>
      </c>
      <c r="F126" s="27"/>
      <c r="G126" s="16">
        <v>9000</v>
      </c>
      <c r="H126" s="16">
        <f t="shared" si="78"/>
        <v>0</v>
      </c>
      <c r="I126" s="19"/>
      <c r="J126" s="16" t="s">
        <v>164</v>
      </c>
      <c r="K126" s="27"/>
      <c r="L126" s="19">
        <v>15000</v>
      </c>
      <c r="M126" s="16">
        <f t="shared" si="79"/>
        <v>0</v>
      </c>
      <c r="N126" s="17"/>
      <c r="O126" s="20" t="s">
        <v>208</v>
      </c>
      <c r="P126" s="21"/>
      <c r="Q126" s="19">
        <v>250</v>
      </c>
      <c r="R126" s="16">
        <f t="shared" si="80"/>
        <v>0</v>
      </c>
      <c r="S126" s="20"/>
      <c r="T126" s="20" t="s">
        <v>179</v>
      </c>
      <c r="U126" s="20"/>
      <c r="V126" s="20">
        <v>35000</v>
      </c>
      <c r="W126" s="16">
        <f t="shared" si="81"/>
        <v>0</v>
      </c>
      <c r="X126" s="16"/>
      <c r="Y126" s="16"/>
      <c r="Z126" s="16"/>
      <c r="AA126" s="16"/>
      <c r="AB126" s="16">
        <f t="shared" si="82"/>
        <v>0</v>
      </c>
      <c r="AC126" s="20"/>
      <c r="AD126" s="20" t="s">
        <v>90</v>
      </c>
      <c r="AE126" s="20"/>
      <c r="AF126" s="20">
        <v>7000</v>
      </c>
      <c r="AG126" s="16">
        <f t="shared" si="83"/>
        <v>0</v>
      </c>
      <c r="AH126" s="16"/>
      <c r="AI126" s="16" t="s">
        <v>589</v>
      </c>
      <c r="AJ126" s="16"/>
      <c r="AK126" s="16">
        <v>85000</v>
      </c>
      <c r="AL126" s="16">
        <f t="shared" si="84"/>
        <v>0</v>
      </c>
      <c r="AM126" s="16"/>
      <c r="AN126" s="16"/>
      <c r="AO126" s="16"/>
      <c r="AP126" s="16"/>
      <c r="AQ126" s="16">
        <f t="shared" si="85"/>
        <v>0</v>
      </c>
      <c r="AR126" s="16"/>
      <c r="AS126" s="16"/>
      <c r="AT126" s="16"/>
      <c r="AU126" s="16"/>
      <c r="AV126" s="16">
        <f t="shared" si="86"/>
        <v>0</v>
      </c>
      <c r="AW126" s="16"/>
      <c r="AX126" s="16"/>
      <c r="AY126" s="16"/>
      <c r="AZ126" s="16"/>
      <c r="BA126" s="16">
        <f t="shared" si="87"/>
        <v>0</v>
      </c>
      <c r="BB126" s="20"/>
      <c r="BC126" s="20" t="s">
        <v>197</v>
      </c>
      <c r="BD126" s="17"/>
      <c r="BE126" s="17">
        <v>15000</v>
      </c>
      <c r="BF126" s="16">
        <f t="shared" si="88"/>
        <v>0</v>
      </c>
      <c r="BG126" s="20"/>
      <c r="BH126" s="20" t="s">
        <v>590</v>
      </c>
      <c r="BI126" s="20"/>
      <c r="BJ126" s="20">
        <v>35000</v>
      </c>
      <c r="BK126" s="16">
        <f t="shared" si="89"/>
        <v>0</v>
      </c>
      <c r="BL126" s="16"/>
      <c r="BM126" s="20" t="s">
        <v>542</v>
      </c>
      <c r="BN126" s="20"/>
      <c r="BO126" s="24">
        <v>5000</v>
      </c>
      <c r="BP126" s="16">
        <f t="shared" si="90"/>
        <v>0</v>
      </c>
      <c r="BQ126" s="16"/>
      <c r="BR126" s="16"/>
      <c r="BS126" s="16"/>
      <c r="BT126" s="16"/>
      <c r="BU126" s="16">
        <f t="shared" si="91"/>
        <v>0</v>
      </c>
      <c r="BV126" s="16"/>
      <c r="BW126" s="16"/>
      <c r="BX126" s="16"/>
      <c r="BY126" s="16"/>
      <c r="BZ126" s="16">
        <f t="shared" si="92"/>
        <v>0</v>
      </c>
      <c r="CA126" s="16"/>
      <c r="CB126" s="16"/>
      <c r="CC126" s="16"/>
      <c r="CD126" s="16"/>
      <c r="CE126" s="16">
        <f t="shared" si="93"/>
        <v>0</v>
      </c>
      <c r="CF126" s="16"/>
      <c r="CG126" s="16"/>
      <c r="CH126" s="16"/>
      <c r="CI126" s="23"/>
      <c r="CJ126" s="23">
        <f t="shared" si="94"/>
        <v>0</v>
      </c>
      <c r="CK126" s="20"/>
      <c r="CL126" s="20"/>
      <c r="CM126" s="20"/>
      <c r="CN126" s="20"/>
      <c r="CO126" s="23">
        <f t="shared" si="95"/>
        <v>0</v>
      </c>
      <c r="CP126" s="16"/>
      <c r="CQ126" s="16" t="s">
        <v>591</v>
      </c>
      <c r="CR126" s="16"/>
      <c r="CS126" s="16">
        <v>20000</v>
      </c>
      <c r="CT126" s="23">
        <f t="shared" si="96"/>
        <v>0</v>
      </c>
      <c r="CU126" s="20"/>
      <c r="CV126" s="20"/>
      <c r="CW126" s="20"/>
      <c r="CX126" s="20"/>
      <c r="CY126" s="23">
        <f t="shared" si="97"/>
        <v>0</v>
      </c>
      <c r="CZ126" s="20"/>
      <c r="DA126" s="18" t="s">
        <v>38</v>
      </c>
      <c r="DB126" s="17"/>
      <c r="DC126" s="17">
        <v>50000</v>
      </c>
      <c r="DD126" s="23">
        <f t="shared" si="98"/>
        <v>0</v>
      </c>
      <c r="DE126" s="16"/>
      <c r="DF126" s="16"/>
      <c r="DG126" s="16"/>
      <c r="DH126" s="16"/>
      <c r="DI126" s="16">
        <f t="shared" si="103"/>
        <v>0</v>
      </c>
      <c r="DJ126" s="20"/>
      <c r="DK126" s="20" t="s">
        <v>90</v>
      </c>
      <c r="DL126" s="21"/>
      <c r="DM126" s="20">
        <v>7000</v>
      </c>
      <c r="DN126" s="16">
        <f t="shared" si="100"/>
        <v>0</v>
      </c>
      <c r="DO126" s="20"/>
      <c r="DP126" s="20" t="s">
        <v>69</v>
      </c>
      <c r="DQ126" s="20"/>
      <c r="DR126" s="20">
        <v>1000</v>
      </c>
      <c r="DS126" s="16">
        <f t="shared" si="101"/>
        <v>0</v>
      </c>
      <c r="DT126" s="20"/>
      <c r="DU126" s="16" t="s">
        <v>173</v>
      </c>
      <c r="DV126" s="16"/>
      <c r="DW126" s="16">
        <v>15000</v>
      </c>
      <c r="DX126" s="24">
        <f t="shared" si="102"/>
        <v>0</v>
      </c>
    </row>
    <row r="127" spans="1:128" s="2" customFormat="1" x14ac:dyDescent="0.3">
      <c r="A127" s="20"/>
      <c r="B127" s="16"/>
      <c r="C127" s="16"/>
      <c r="D127" s="17"/>
      <c r="E127" s="20"/>
      <c r="F127" s="17"/>
      <c r="G127" s="17"/>
      <c r="H127" s="16">
        <f t="shared" si="78"/>
        <v>0</v>
      </c>
      <c r="I127" s="19"/>
      <c r="J127" s="20" t="s">
        <v>197</v>
      </c>
      <c r="K127" s="20"/>
      <c r="L127" s="20">
        <v>15000</v>
      </c>
      <c r="M127" s="16">
        <f t="shared" si="79"/>
        <v>0</v>
      </c>
      <c r="N127" s="17"/>
      <c r="O127" s="20" t="s">
        <v>570</v>
      </c>
      <c r="P127" s="20"/>
      <c r="Q127" s="16">
        <v>90000</v>
      </c>
      <c r="R127" s="16">
        <f t="shared" si="80"/>
        <v>0</v>
      </c>
      <c r="S127" s="20"/>
      <c r="T127" s="20" t="s">
        <v>135</v>
      </c>
      <c r="U127" s="20"/>
      <c r="V127" s="24">
        <v>6500</v>
      </c>
      <c r="W127" s="16">
        <f t="shared" si="81"/>
        <v>0</v>
      </c>
      <c r="X127" s="16"/>
      <c r="Y127" s="16"/>
      <c r="Z127" s="16"/>
      <c r="AA127" s="16"/>
      <c r="AB127" s="16">
        <f t="shared" si="82"/>
        <v>0</v>
      </c>
      <c r="AC127" s="20"/>
      <c r="AD127" s="20" t="s">
        <v>244</v>
      </c>
      <c r="AE127" s="20"/>
      <c r="AF127" s="20">
        <v>3900</v>
      </c>
      <c r="AG127" s="16">
        <f t="shared" si="83"/>
        <v>0</v>
      </c>
      <c r="AH127" s="16"/>
      <c r="AI127" s="16" t="s">
        <v>96</v>
      </c>
      <c r="AJ127" s="22"/>
      <c r="AK127" s="19">
        <v>10000</v>
      </c>
      <c r="AL127" s="16">
        <f t="shared" si="84"/>
        <v>0</v>
      </c>
      <c r="AM127" s="16"/>
      <c r="AN127" s="16"/>
      <c r="AO127" s="16"/>
      <c r="AP127" s="16"/>
      <c r="AQ127" s="16">
        <f t="shared" si="85"/>
        <v>0</v>
      </c>
      <c r="AR127" s="16"/>
      <c r="AS127" s="16"/>
      <c r="AT127" s="16"/>
      <c r="AU127" s="16"/>
      <c r="AV127" s="16">
        <f t="shared" si="86"/>
        <v>0</v>
      </c>
      <c r="AW127" s="16"/>
      <c r="AX127" s="16"/>
      <c r="AY127" s="16"/>
      <c r="AZ127" s="16"/>
      <c r="BA127" s="16">
        <f t="shared" si="87"/>
        <v>0</v>
      </c>
      <c r="BB127" s="20"/>
      <c r="BC127" s="20" t="s">
        <v>592</v>
      </c>
      <c r="BD127" s="17"/>
      <c r="BE127" s="17">
        <v>250</v>
      </c>
      <c r="BF127" s="16">
        <f t="shared" si="88"/>
        <v>0</v>
      </c>
      <c r="BG127" s="20"/>
      <c r="BH127" s="20" t="s">
        <v>301</v>
      </c>
      <c r="BI127" s="20"/>
      <c r="BJ127" s="20">
        <v>35000</v>
      </c>
      <c r="BK127" s="16">
        <f t="shared" si="89"/>
        <v>0</v>
      </c>
      <c r="BL127" s="16"/>
      <c r="BM127" s="16" t="s">
        <v>84</v>
      </c>
      <c r="BN127" s="16"/>
      <c r="BO127" s="16">
        <v>100</v>
      </c>
      <c r="BP127" s="16">
        <f t="shared" si="90"/>
        <v>0</v>
      </c>
      <c r="BQ127" s="16"/>
      <c r="BR127" s="16"/>
      <c r="BS127" s="16"/>
      <c r="BT127" s="16"/>
      <c r="BU127" s="16">
        <f t="shared" si="91"/>
        <v>0</v>
      </c>
      <c r="BV127" s="16"/>
      <c r="BW127" s="16"/>
      <c r="BX127" s="16"/>
      <c r="BY127" s="16"/>
      <c r="BZ127" s="16">
        <f t="shared" si="92"/>
        <v>0</v>
      </c>
      <c r="CA127" s="16"/>
      <c r="CB127" s="16"/>
      <c r="CC127" s="16"/>
      <c r="CD127" s="16"/>
      <c r="CE127" s="16">
        <f t="shared" si="93"/>
        <v>0</v>
      </c>
      <c r="CF127" s="16"/>
      <c r="CG127" s="16"/>
      <c r="CH127" s="16"/>
      <c r="CI127" s="23"/>
      <c r="CJ127" s="23">
        <f t="shared" si="94"/>
        <v>0</v>
      </c>
      <c r="CK127" s="20"/>
      <c r="CL127" s="20"/>
      <c r="CM127" s="20"/>
      <c r="CN127" s="20"/>
      <c r="CO127" s="23">
        <f t="shared" si="95"/>
        <v>0</v>
      </c>
      <c r="CP127" s="16"/>
      <c r="CQ127" s="16" t="s">
        <v>362</v>
      </c>
      <c r="CR127" s="16"/>
      <c r="CS127" s="16">
        <v>85000</v>
      </c>
      <c r="CT127" s="23">
        <f t="shared" si="96"/>
        <v>0</v>
      </c>
      <c r="CU127" s="20"/>
      <c r="CV127" s="20"/>
      <c r="CW127" s="20"/>
      <c r="CX127" s="20"/>
      <c r="CY127" s="23">
        <f t="shared" si="97"/>
        <v>0</v>
      </c>
      <c r="CZ127" s="20"/>
      <c r="DA127" s="20" t="s">
        <v>296</v>
      </c>
      <c r="DB127" s="20"/>
      <c r="DC127" s="20">
        <v>100</v>
      </c>
      <c r="DD127" s="23">
        <f t="shared" si="98"/>
        <v>0</v>
      </c>
      <c r="DE127" s="16"/>
      <c r="DF127" s="16"/>
      <c r="DG127" s="16"/>
      <c r="DH127" s="16"/>
      <c r="DI127" s="16">
        <f t="shared" si="103"/>
        <v>0</v>
      </c>
      <c r="DJ127" s="20"/>
      <c r="DK127" s="20" t="s">
        <v>385</v>
      </c>
      <c r="DL127" s="20"/>
      <c r="DM127" s="20">
        <v>5000</v>
      </c>
      <c r="DN127" s="16">
        <f t="shared" si="100"/>
        <v>0</v>
      </c>
      <c r="DO127" s="20"/>
      <c r="DP127" s="20" t="s">
        <v>235</v>
      </c>
      <c r="DQ127" s="20"/>
      <c r="DR127" s="20">
        <v>22000</v>
      </c>
      <c r="DS127" s="16">
        <f t="shared" si="101"/>
        <v>0</v>
      </c>
      <c r="DT127" s="20"/>
      <c r="DU127" s="16" t="s">
        <v>593</v>
      </c>
      <c r="DV127" s="16"/>
      <c r="DW127" s="16">
        <v>15000</v>
      </c>
      <c r="DX127" s="24">
        <f t="shared" si="102"/>
        <v>0</v>
      </c>
    </row>
    <row r="128" spans="1:128" s="2" customFormat="1" x14ac:dyDescent="0.3">
      <c r="A128" s="28"/>
      <c r="B128" s="29" t="s">
        <v>292</v>
      </c>
      <c r="C128" s="29">
        <f>SUM(C101:C127)</f>
        <v>0</v>
      </c>
      <c r="D128" s="30" t="s">
        <v>293</v>
      </c>
      <c r="E128" s="30"/>
      <c r="F128" s="30"/>
      <c r="G128" s="30"/>
      <c r="H128" s="31">
        <f>SUM(H101:H127)</f>
        <v>0</v>
      </c>
      <c r="I128" s="32" t="s">
        <v>293</v>
      </c>
      <c r="J128" s="32"/>
      <c r="K128" s="32"/>
      <c r="L128" s="32"/>
      <c r="M128" s="29">
        <f>SUM(M101:M127)</f>
        <v>0</v>
      </c>
      <c r="N128" s="33" t="s">
        <v>293</v>
      </c>
      <c r="O128" s="33"/>
      <c r="P128" s="33"/>
      <c r="Q128" s="34"/>
      <c r="R128" s="29">
        <f>SUM(R101:R127)</f>
        <v>0</v>
      </c>
      <c r="S128" s="30" t="s">
        <v>293</v>
      </c>
      <c r="T128" s="30"/>
      <c r="U128" s="30"/>
      <c r="V128" s="30"/>
      <c r="W128" s="31">
        <f>SUM(W101:W127)</f>
        <v>0</v>
      </c>
      <c r="X128" s="32" t="s">
        <v>293</v>
      </c>
      <c r="Y128" s="32"/>
      <c r="Z128" s="32"/>
      <c r="AA128" s="32"/>
      <c r="AB128" s="29">
        <f>SUM(AB101:AB127)</f>
        <v>0</v>
      </c>
      <c r="AC128" s="30" t="s">
        <v>293</v>
      </c>
      <c r="AD128" s="30"/>
      <c r="AE128" s="30"/>
      <c r="AF128" s="30"/>
      <c r="AG128" s="31">
        <f>SUM(AG101:AG127)</f>
        <v>0</v>
      </c>
      <c r="AH128" s="32" t="s">
        <v>293</v>
      </c>
      <c r="AI128" s="32"/>
      <c r="AJ128" s="32"/>
      <c r="AK128" s="32"/>
      <c r="AL128" s="29">
        <f>SUM(AL101:AL127)</f>
        <v>0</v>
      </c>
      <c r="AM128" s="32" t="s">
        <v>293</v>
      </c>
      <c r="AN128" s="32"/>
      <c r="AO128" s="32"/>
      <c r="AP128" s="32"/>
      <c r="AQ128" s="29">
        <f>SUM(AQ101:AQ127)</f>
        <v>0</v>
      </c>
      <c r="AR128" s="32" t="s">
        <v>293</v>
      </c>
      <c r="AS128" s="32"/>
      <c r="AT128" s="32"/>
      <c r="AU128" s="32"/>
      <c r="AV128" s="29">
        <f>SUM(AV101:AV127)</f>
        <v>0</v>
      </c>
      <c r="AW128" s="32" t="s">
        <v>293</v>
      </c>
      <c r="AX128" s="32"/>
      <c r="AY128" s="32"/>
      <c r="AZ128" s="32"/>
      <c r="BA128" s="29">
        <f>SUM(BA101:BA127)</f>
        <v>0</v>
      </c>
      <c r="BB128" s="30" t="s">
        <v>293</v>
      </c>
      <c r="BC128" s="30"/>
      <c r="BD128" s="30"/>
      <c r="BE128" s="30"/>
      <c r="BF128" s="31">
        <f>SUM(BF101:BF127)</f>
        <v>0</v>
      </c>
      <c r="BG128" s="30" t="s">
        <v>293</v>
      </c>
      <c r="BH128" s="30"/>
      <c r="BI128" s="30"/>
      <c r="BJ128" s="30"/>
      <c r="BK128" s="31">
        <f>SUM(BK101:BK127)</f>
        <v>0</v>
      </c>
      <c r="BL128" s="32" t="s">
        <v>293</v>
      </c>
      <c r="BM128" s="32"/>
      <c r="BN128" s="32"/>
      <c r="BO128" s="32"/>
      <c r="BP128" s="29">
        <f>SUM(BP101:BP127)</f>
        <v>0</v>
      </c>
      <c r="BQ128" s="32" t="s">
        <v>293</v>
      </c>
      <c r="BR128" s="32"/>
      <c r="BS128" s="32"/>
      <c r="BT128" s="32"/>
      <c r="BU128" s="29">
        <f>SUM(BU101:BU127)</f>
        <v>0</v>
      </c>
      <c r="BV128" s="32" t="s">
        <v>293</v>
      </c>
      <c r="BW128" s="32"/>
      <c r="BX128" s="32"/>
      <c r="BY128" s="32"/>
      <c r="BZ128" s="29">
        <f>SUM(BZ102:BZ127)</f>
        <v>0</v>
      </c>
      <c r="CA128" s="32" t="s">
        <v>293</v>
      </c>
      <c r="CB128" s="32"/>
      <c r="CC128" s="32"/>
      <c r="CD128" s="32"/>
      <c r="CE128" s="29">
        <f>SUM(CE101:CE127)</f>
        <v>0</v>
      </c>
      <c r="CF128" s="32" t="s">
        <v>293</v>
      </c>
      <c r="CG128" s="32"/>
      <c r="CH128" s="32"/>
      <c r="CI128" s="32"/>
      <c r="CJ128" s="29">
        <f>SUM(CJ101:CJ127)</f>
        <v>0</v>
      </c>
      <c r="CK128" s="30" t="s">
        <v>293</v>
      </c>
      <c r="CL128" s="30"/>
      <c r="CM128" s="30"/>
      <c r="CN128" s="30"/>
      <c r="CO128" s="29">
        <f>SUM(CO101:CO127)</f>
        <v>0</v>
      </c>
      <c r="CP128" s="32" t="s">
        <v>293</v>
      </c>
      <c r="CQ128" s="32"/>
      <c r="CR128" s="32"/>
      <c r="CS128" s="32"/>
      <c r="CT128" s="29">
        <f>SUM(CT101:CT127)</f>
        <v>0</v>
      </c>
      <c r="CU128" s="30" t="s">
        <v>293</v>
      </c>
      <c r="CV128" s="30"/>
      <c r="CW128" s="30"/>
      <c r="CX128" s="30"/>
      <c r="CY128" s="29">
        <f>SUM(CY101:CY127)</f>
        <v>0</v>
      </c>
      <c r="CZ128" s="30" t="s">
        <v>293</v>
      </c>
      <c r="DA128" s="30"/>
      <c r="DB128" s="30"/>
      <c r="DC128" s="30"/>
      <c r="DD128" s="29">
        <f>SUM(DD101:DD127)</f>
        <v>0</v>
      </c>
      <c r="DE128" s="32" t="s">
        <v>293</v>
      </c>
      <c r="DF128" s="32"/>
      <c r="DG128" s="32"/>
      <c r="DH128" s="32"/>
      <c r="DI128" s="29">
        <f>SUM(DI101:DI127)</f>
        <v>0</v>
      </c>
      <c r="DJ128" s="30" t="s">
        <v>293</v>
      </c>
      <c r="DK128" s="30"/>
      <c r="DL128" s="30"/>
      <c r="DM128" s="30"/>
      <c r="DN128" s="29">
        <f>SUM(DN101:DN127)</f>
        <v>0</v>
      </c>
      <c r="DO128" s="33" t="s">
        <v>293</v>
      </c>
      <c r="DP128" s="35"/>
      <c r="DQ128" s="35"/>
      <c r="DR128" s="36"/>
      <c r="DS128" s="29">
        <f>SUM(DS101:DS127)</f>
        <v>0</v>
      </c>
      <c r="DT128" s="30" t="s">
        <v>293</v>
      </c>
      <c r="DU128" s="30"/>
      <c r="DV128" s="30"/>
      <c r="DW128" s="30"/>
      <c r="DX128" s="37">
        <f>SUM(DX101:DX127)</f>
        <v>0</v>
      </c>
    </row>
    <row r="129" spans="1:128" s="2" customFormat="1" ht="15" customHeight="1" x14ac:dyDescent="0.3">
      <c r="A129" s="7" t="s">
        <v>2</v>
      </c>
      <c r="B129" s="8" t="s">
        <v>3</v>
      </c>
      <c r="C129" s="9" t="s">
        <v>4</v>
      </c>
      <c r="D129" s="7" t="s">
        <v>5</v>
      </c>
      <c r="E129" s="10" t="s">
        <v>6</v>
      </c>
      <c r="F129" s="10"/>
      <c r="G129" s="10"/>
      <c r="H129" s="10"/>
      <c r="I129" s="7" t="s">
        <v>5</v>
      </c>
      <c r="J129" s="10" t="s">
        <v>7</v>
      </c>
      <c r="K129" s="10"/>
      <c r="L129" s="10"/>
      <c r="M129" s="10"/>
      <c r="N129" s="7" t="s">
        <v>5</v>
      </c>
      <c r="O129" s="10" t="s">
        <v>8</v>
      </c>
      <c r="P129" s="10"/>
      <c r="Q129" s="10"/>
      <c r="R129" s="10"/>
      <c r="S129" s="7" t="s">
        <v>5</v>
      </c>
      <c r="T129" s="10" t="s">
        <v>9</v>
      </c>
      <c r="U129" s="10"/>
      <c r="V129" s="10"/>
      <c r="W129" s="10"/>
      <c r="X129" s="7" t="s">
        <v>5</v>
      </c>
      <c r="Y129" s="10" t="s">
        <v>10</v>
      </c>
      <c r="Z129" s="10"/>
      <c r="AA129" s="10"/>
      <c r="AB129" s="10"/>
      <c r="AC129" s="7" t="s">
        <v>5</v>
      </c>
      <c r="AD129" s="10" t="s">
        <v>11</v>
      </c>
      <c r="AE129" s="10"/>
      <c r="AF129" s="10"/>
      <c r="AG129" s="10"/>
      <c r="AH129" s="7" t="s">
        <v>5</v>
      </c>
      <c r="AI129" s="10" t="s">
        <v>12</v>
      </c>
      <c r="AJ129" s="10"/>
      <c r="AK129" s="10"/>
      <c r="AL129" s="10"/>
      <c r="AM129" s="7" t="s">
        <v>5</v>
      </c>
      <c r="AN129" s="10" t="s">
        <v>13</v>
      </c>
      <c r="AO129" s="10"/>
      <c r="AP129" s="10"/>
      <c r="AQ129" s="10"/>
      <c r="AR129" s="7" t="s">
        <v>5</v>
      </c>
      <c r="AS129" s="10" t="s">
        <v>14</v>
      </c>
      <c r="AT129" s="10"/>
      <c r="AU129" s="10"/>
      <c r="AV129" s="10"/>
      <c r="AW129" s="7" t="s">
        <v>5</v>
      </c>
      <c r="AX129" s="10" t="s">
        <v>15</v>
      </c>
      <c r="AY129" s="10"/>
      <c r="AZ129" s="10"/>
      <c r="BA129" s="10"/>
      <c r="BB129" s="7" t="s">
        <v>5</v>
      </c>
      <c r="BC129" s="10" t="s">
        <v>16</v>
      </c>
      <c r="BD129" s="10"/>
      <c r="BE129" s="10"/>
      <c r="BF129" s="10"/>
      <c r="BG129" s="7" t="s">
        <v>5</v>
      </c>
      <c r="BH129" s="10" t="s">
        <v>17</v>
      </c>
      <c r="BI129" s="10"/>
      <c r="BJ129" s="10"/>
      <c r="BK129" s="10"/>
      <c r="BL129" s="7" t="s">
        <v>5</v>
      </c>
      <c r="BM129" s="10" t="s">
        <v>18</v>
      </c>
      <c r="BN129" s="10"/>
      <c r="BO129" s="10"/>
      <c r="BP129" s="10"/>
      <c r="BQ129" s="7" t="s">
        <v>5</v>
      </c>
      <c r="BR129" s="10" t="s">
        <v>19</v>
      </c>
      <c r="BS129" s="10"/>
      <c r="BT129" s="10"/>
      <c r="BU129" s="10"/>
      <c r="BV129" s="7" t="s">
        <v>5</v>
      </c>
      <c r="BW129" s="10" t="s">
        <v>20</v>
      </c>
      <c r="BX129" s="10"/>
      <c r="BY129" s="10"/>
      <c r="BZ129" s="10"/>
      <c r="CA129" s="7" t="s">
        <v>5</v>
      </c>
      <c r="CB129" s="10" t="s">
        <v>21</v>
      </c>
      <c r="CC129" s="10"/>
      <c r="CD129" s="10"/>
      <c r="CE129" s="10"/>
      <c r="CF129" s="7" t="s">
        <v>5</v>
      </c>
      <c r="CG129" s="10" t="s">
        <v>22</v>
      </c>
      <c r="CH129" s="10"/>
      <c r="CI129" s="10"/>
      <c r="CJ129" s="10"/>
      <c r="CK129" s="7" t="s">
        <v>5</v>
      </c>
      <c r="CL129" s="10" t="s">
        <v>23</v>
      </c>
      <c r="CM129" s="10"/>
      <c r="CN129" s="10"/>
      <c r="CO129" s="10"/>
      <c r="CP129" s="7" t="s">
        <v>5</v>
      </c>
      <c r="CQ129" s="10" t="s">
        <v>24</v>
      </c>
      <c r="CR129" s="10"/>
      <c r="CS129" s="10"/>
      <c r="CT129" s="10"/>
      <c r="CU129" s="7" t="s">
        <v>5</v>
      </c>
      <c r="CV129" s="10" t="s">
        <v>25</v>
      </c>
      <c r="CW129" s="10"/>
      <c r="CX129" s="10"/>
      <c r="CY129" s="10"/>
      <c r="CZ129" s="7" t="s">
        <v>5</v>
      </c>
      <c r="DA129" s="10" t="s">
        <v>26</v>
      </c>
      <c r="DB129" s="10"/>
      <c r="DC129" s="10"/>
      <c r="DD129" s="10"/>
      <c r="DE129" s="7" t="s">
        <v>5</v>
      </c>
      <c r="DF129" s="10" t="s">
        <v>27</v>
      </c>
      <c r="DG129" s="10"/>
      <c r="DH129" s="10"/>
      <c r="DI129" s="10"/>
      <c r="DJ129" s="7" t="s">
        <v>5</v>
      </c>
      <c r="DK129" s="10" t="s">
        <v>28</v>
      </c>
      <c r="DL129" s="10"/>
      <c r="DM129" s="10"/>
      <c r="DN129" s="10"/>
      <c r="DO129" s="7" t="s">
        <v>5</v>
      </c>
      <c r="DP129" s="38" t="s">
        <v>29</v>
      </c>
      <c r="DQ129" s="39"/>
      <c r="DR129" s="39"/>
      <c r="DS129" s="40"/>
      <c r="DT129" s="7" t="s">
        <v>5</v>
      </c>
      <c r="DU129" s="10" t="s">
        <v>30</v>
      </c>
      <c r="DV129" s="10"/>
      <c r="DW129" s="10"/>
      <c r="DX129" s="10"/>
    </row>
    <row r="130" spans="1:128" s="2" customFormat="1" ht="28.8" x14ac:dyDescent="0.3">
      <c r="A130" s="7"/>
      <c r="B130" s="8"/>
      <c r="C130" s="9"/>
      <c r="D130" s="7"/>
      <c r="E130" s="11" t="s">
        <v>31</v>
      </c>
      <c r="F130" s="12" t="s">
        <v>32</v>
      </c>
      <c r="G130" s="12" t="s">
        <v>33</v>
      </c>
      <c r="H130" s="13" t="s">
        <v>34</v>
      </c>
      <c r="I130" s="7"/>
      <c r="J130" s="11" t="s">
        <v>31</v>
      </c>
      <c r="K130" s="14" t="s">
        <v>32</v>
      </c>
      <c r="L130" s="14" t="s">
        <v>33</v>
      </c>
      <c r="M130" s="13" t="s">
        <v>34</v>
      </c>
      <c r="N130" s="7"/>
      <c r="O130" s="13" t="s">
        <v>31</v>
      </c>
      <c r="P130" s="14" t="s">
        <v>32</v>
      </c>
      <c r="Q130" s="14" t="s">
        <v>33</v>
      </c>
      <c r="R130" s="13" t="s">
        <v>34</v>
      </c>
      <c r="S130" s="7"/>
      <c r="T130" s="13" t="s">
        <v>31</v>
      </c>
      <c r="U130" s="14" t="s">
        <v>32</v>
      </c>
      <c r="V130" s="14" t="s">
        <v>35</v>
      </c>
      <c r="W130" s="13" t="s">
        <v>34</v>
      </c>
      <c r="X130" s="7"/>
      <c r="Y130" s="13" t="s">
        <v>31</v>
      </c>
      <c r="Z130" s="14" t="s">
        <v>32</v>
      </c>
      <c r="AA130" s="14" t="s">
        <v>35</v>
      </c>
      <c r="AB130" s="13" t="s">
        <v>34</v>
      </c>
      <c r="AC130" s="7"/>
      <c r="AD130" s="13" t="s">
        <v>31</v>
      </c>
      <c r="AE130" s="14" t="s">
        <v>32</v>
      </c>
      <c r="AF130" s="14" t="s">
        <v>35</v>
      </c>
      <c r="AG130" s="12" t="s">
        <v>36</v>
      </c>
      <c r="AH130" s="7"/>
      <c r="AI130" s="13" t="s">
        <v>31</v>
      </c>
      <c r="AJ130" s="12" t="s">
        <v>32</v>
      </c>
      <c r="AK130" s="14" t="s">
        <v>35</v>
      </c>
      <c r="AL130" s="13" t="s">
        <v>34</v>
      </c>
      <c r="AM130" s="7"/>
      <c r="AN130" s="13" t="s">
        <v>31</v>
      </c>
      <c r="AO130" s="14" t="s">
        <v>32</v>
      </c>
      <c r="AP130" s="14" t="s">
        <v>33</v>
      </c>
      <c r="AQ130" s="13" t="s">
        <v>36</v>
      </c>
      <c r="AR130" s="7"/>
      <c r="AS130" s="13" t="s">
        <v>31</v>
      </c>
      <c r="AT130" s="14" t="s">
        <v>32</v>
      </c>
      <c r="AU130" s="14" t="s">
        <v>35</v>
      </c>
      <c r="AV130" s="12" t="s">
        <v>36</v>
      </c>
      <c r="AW130" s="7"/>
      <c r="AX130" s="13" t="s">
        <v>31</v>
      </c>
      <c r="AY130" s="14" t="s">
        <v>32</v>
      </c>
      <c r="AZ130" s="14" t="s">
        <v>35</v>
      </c>
      <c r="BA130" s="13" t="s">
        <v>34</v>
      </c>
      <c r="BB130" s="7"/>
      <c r="BC130" s="13" t="s">
        <v>31</v>
      </c>
      <c r="BD130" s="12" t="s">
        <v>32</v>
      </c>
      <c r="BE130" s="12"/>
      <c r="BF130" s="13" t="s">
        <v>34</v>
      </c>
      <c r="BG130" s="7"/>
      <c r="BH130" s="13" t="s">
        <v>31</v>
      </c>
      <c r="BI130" s="14" t="s">
        <v>32</v>
      </c>
      <c r="BJ130" s="14"/>
      <c r="BK130" s="13" t="s">
        <v>34</v>
      </c>
      <c r="BL130" s="7"/>
      <c r="BM130" s="13" t="s">
        <v>31</v>
      </c>
      <c r="BN130" s="14" t="s">
        <v>32</v>
      </c>
      <c r="BO130" s="14" t="s">
        <v>35</v>
      </c>
      <c r="BP130" s="13" t="s">
        <v>34</v>
      </c>
      <c r="BQ130" s="7"/>
      <c r="BR130" s="13" t="s">
        <v>31</v>
      </c>
      <c r="BS130" s="14" t="s">
        <v>32</v>
      </c>
      <c r="BT130" s="14" t="s">
        <v>33</v>
      </c>
      <c r="BU130" s="13" t="s">
        <v>34</v>
      </c>
      <c r="BV130" s="7"/>
      <c r="BW130" s="13" t="s">
        <v>31</v>
      </c>
      <c r="BX130" s="14" t="s">
        <v>32</v>
      </c>
      <c r="BY130" s="14" t="s">
        <v>35</v>
      </c>
      <c r="BZ130" s="13" t="s">
        <v>34</v>
      </c>
      <c r="CA130" s="7"/>
      <c r="CB130" s="13" t="s">
        <v>31</v>
      </c>
      <c r="CC130" s="14" t="s">
        <v>32</v>
      </c>
      <c r="CD130" s="14" t="s">
        <v>33</v>
      </c>
      <c r="CE130" s="13" t="s">
        <v>34</v>
      </c>
      <c r="CF130" s="7"/>
      <c r="CG130" s="13" t="s">
        <v>31</v>
      </c>
      <c r="CH130" s="14" t="s">
        <v>32</v>
      </c>
      <c r="CI130" s="14" t="s">
        <v>35</v>
      </c>
      <c r="CJ130" s="13" t="s">
        <v>37</v>
      </c>
      <c r="CK130" s="7"/>
      <c r="CL130" s="13" t="s">
        <v>31</v>
      </c>
      <c r="CM130" s="12" t="s">
        <v>32</v>
      </c>
      <c r="CN130" s="12" t="s">
        <v>35</v>
      </c>
      <c r="CO130" s="13" t="s">
        <v>37</v>
      </c>
      <c r="CP130" s="7"/>
      <c r="CQ130" s="13" t="s">
        <v>31</v>
      </c>
      <c r="CR130" s="12" t="s">
        <v>32</v>
      </c>
      <c r="CS130" s="12" t="s">
        <v>35</v>
      </c>
      <c r="CT130" s="13" t="s">
        <v>37</v>
      </c>
      <c r="CU130" s="7"/>
      <c r="CV130" s="13" t="s">
        <v>31</v>
      </c>
      <c r="CW130" s="12" t="s">
        <v>32</v>
      </c>
      <c r="CX130" s="12" t="s">
        <v>35</v>
      </c>
      <c r="CY130" s="13" t="s">
        <v>37</v>
      </c>
      <c r="CZ130" s="7"/>
      <c r="DA130" s="13" t="s">
        <v>31</v>
      </c>
      <c r="DB130" s="12" t="s">
        <v>32</v>
      </c>
      <c r="DC130" s="12" t="s">
        <v>35</v>
      </c>
      <c r="DD130" s="13" t="s">
        <v>37</v>
      </c>
      <c r="DE130" s="7"/>
      <c r="DF130" s="13" t="s">
        <v>31</v>
      </c>
      <c r="DG130" s="12" t="s">
        <v>32</v>
      </c>
      <c r="DH130" s="12" t="s">
        <v>35</v>
      </c>
      <c r="DI130" s="13" t="s">
        <v>37</v>
      </c>
      <c r="DJ130" s="7"/>
      <c r="DK130" s="13" t="s">
        <v>31</v>
      </c>
      <c r="DL130" s="12" t="s">
        <v>32</v>
      </c>
      <c r="DM130" s="12" t="s">
        <v>35</v>
      </c>
      <c r="DN130" s="13" t="s">
        <v>37</v>
      </c>
      <c r="DO130" s="7"/>
      <c r="DP130" s="13" t="s">
        <v>31</v>
      </c>
      <c r="DQ130" s="12" t="s">
        <v>32</v>
      </c>
      <c r="DR130" s="12" t="s">
        <v>35</v>
      </c>
      <c r="DS130" s="13" t="s">
        <v>37</v>
      </c>
      <c r="DT130" s="7"/>
      <c r="DU130" s="13" t="s">
        <v>31</v>
      </c>
      <c r="DV130" s="12" t="s">
        <v>32</v>
      </c>
      <c r="DW130" s="12" t="s">
        <v>35</v>
      </c>
      <c r="DX130" s="13" t="s">
        <v>37</v>
      </c>
    </row>
    <row r="131" spans="1:128" s="2" customFormat="1" x14ac:dyDescent="0.3">
      <c r="A131" s="56"/>
      <c r="B131" s="16" t="str">
        <f>E129</f>
        <v>KASIR</v>
      </c>
      <c r="C131" s="16">
        <f>H158</f>
        <v>0</v>
      </c>
      <c r="D131" s="17"/>
      <c r="E131" s="18" t="s">
        <v>38</v>
      </c>
      <c r="F131" s="17"/>
      <c r="G131" s="17">
        <v>50000</v>
      </c>
      <c r="H131" s="16">
        <f t="shared" ref="H131:H157" si="104">SUM(F131*G131)</f>
        <v>0</v>
      </c>
      <c r="I131" s="19"/>
      <c r="J131" s="16" t="s">
        <v>39</v>
      </c>
      <c r="K131" s="19"/>
      <c r="L131" s="16">
        <v>450</v>
      </c>
      <c r="M131" s="16">
        <f t="shared" ref="M131:M157" si="105">SUM(K131*L131)</f>
        <v>0</v>
      </c>
      <c r="N131" s="17"/>
      <c r="O131" s="20" t="s">
        <v>40</v>
      </c>
      <c r="P131" s="21"/>
      <c r="Q131" s="19">
        <v>2000</v>
      </c>
      <c r="R131" s="16">
        <f t="shared" ref="R131:R157" si="106">SUM(P131*Q131)</f>
        <v>0</v>
      </c>
      <c r="S131" s="20"/>
      <c r="T131" s="20" t="s">
        <v>39</v>
      </c>
      <c r="U131" s="20"/>
      <c r="V131" s="16">
        <v>450</v>
      </c>
      <c r="W131" s="16">
        <f t="shared" ref="W131:W157" si="107">SUM(U131*V131)</f>
        <v>0</v>
      </c>
      <c r="X131" s="16"/>
      <c r="Y131" s="16" t="s">
        <v>41</v>
      </c>
      <c r="Z131" s="16"/>
      <c r="AA131" s="16">
        <v>28000</v>
      </c>
      <c r="AB131" s="16">
        <f t="shared" ref="AB131:AB157" si="108">SUM(Z131*AA131)</f>
        <v>0</v>
      </c>
      <c r="AC131" s="20"/>
      <c r="AD131" s="20" t="s">
        <v>49</v>
      </c>
      <c r="AE131" s="20"/>
      <c r="AF131" s="16">
        <v>100</v>
      </c>
      <c r="AG131" s="16">
        <f t="shared" ref="AG131:AG157" si="109">SUM(AE131*AF131)</f>
        <v>0</v>
      </c>
      <c r="AH131" s="16"/>
      <c r="AI131" s="16" t="s">
        <v>43</v>
      </c>
      <c r="AJ131" s="22"/>
      <c r="AK131" s="19">
        <v>1550</v>
      </c>
      <c r="AL131" s="16">
        <f t="shared" ref="AL131:AL157" si="110">SUM(AJ131*AK131)</f>
        <v>0</v>
      </c>
      <c r="AM131" s="16"/>
      <c r="AN131" s="20" t="s">
        <v>44</v>
      </c>
      <c r="AO131" s="20"/>
      <c r="AP131" s="20">
        <v>8000</v>
      </c>
      <c r="AQ131" s="16">
        <f t="shared" ref="AQ131:AQ157" si="111">SUM(AO131*AP131)</f>
        <v>0</v>
      </c>
      <c r="AR131" s="16"/>
      <c r="AS131" s="16" t="s">
        <v>45</v>
      </c>
      <c r="AT131" s="16"/>
      <c r="AU131" s="16">
        <v>46500</v>
      </c>
      <c r="AV131" s="16">
        <f t="shared" ref="AV131:AV157" si="112">SUM(AT131*AU131)</f>
        <v>0</v>
      </c>
      <c r="AW131" s="16"/>
      <c r="AX131" s="16" t="s">
        <v>46</v>
      </c>
      <c r="AY131" s="16"/>
      <c r="AZ131" s="16">
        <v>14000</v>
      </c>
      <c r="BA131" s="16">
        <f t="shared" ref="BA131:BA157" si="113">SUM(AY131*AZ131)</f>
        <v>0</v>
      </c>
      <c r="BB131" s="20"/>
      <c r="BC131" s="20" t="s">
        <v>43</v>
      </c>
      <c r="BD131" s="17"/>
      <c r="BE131" s="17">
        <v>1550</v>
      </c>
      <c r="BF131" s="16">
        <f t="shared" ref="BF131:BF157" si="114">SUM(BD131*BE131)</f>
        <v>0</v>
      </c>
      <c r="BG131" s="20"/>
      <c r="BH131" s="20" t="s">
        <v>39</v>
      </c>
      <c r="BI131" s="20"/>
      <c r="BJ131" s="20">
        <v>450</v>
      </c>
      <c r="BK131" s="16">
        <f t="shared" ref="BK131:BK157" si="115">SUM(BI131*BJ131)</f>
        <v>0</v>
      </c>
      <c r="BL131" s="16"/>
      <c r="BM131" s="16" t="s">
        <v>39</v>
      </c>
      <c r="BN131" s="16"/>
      <c r="BO131" s="16">
        <v>450</v>
      </c>
      <c r="BP131" s="16">
        <f t="shared" ref="BP131:BP157" si="116">SUM(BN131*BO131)</f>
        <v>0</v>
      </c>
      <c r="BQ131" s="16"/>
      <c r="BR131" s="16" t="s">
        <v>46</v>
      </c>
      <c r="BS131" s="16"/>
      <c r="BT131" s="16">
        <v>11200</v>
      </c>
      <c r="BU131" s="16">
        <f t="shared" ref="BU131:BU157" si="117">SUM(BS131*BT131)</f>
        <v>0</v>
      </c>
      <c r="BV131" s="16"/>
      <c r="BW131" s="16" t="s">
        <v>48</v>
      </c>
      <c r="BX131" s="16"/>
      <c r="BY131" s="16">
        <v>99750</v>
      </c>
      <c r="BZ131" s="20">
        <f t="shared" ref="BZ131:BZ157" si="118">BY131*BX131</f>
        <v>0</v>
      </c>
      <c r="CA131" s="16">
        <v>1</v>
      </c>
      <c r="CB131" s="16" t="s">
        <v>49</v>
      </c>
      <c r="CC131" s="16"/>
      <c r="CD131" s="16">
        <v>50000</v>
      </c>
      <c r="CE131" s="16">
        <f t="shared" ref="CE131:CE157" si="119">SUM(CC131*CD131)</f>
        <v>0</v>
      </c>
      <c r="CF131" s="16">
        <v>1</v>
      </c>
      <c r="CG131" s="16" t="s">
        <v>49</v>
      </c>
      <c r="CH131" s="16"/>
      <c r="CI131" s="23">
        <v>50000</v>
      </c>
      <c r="CJ131" s="23">
        <f t="shared" ref="CJ131:CJ157" si="120">SUM(CH131*CI131)</f>
        <v>0</v>
      </c>
      <c r="CK131" s="20"/>
      <c r="CL131" s="20" t="s">
        <v>51</v>
      </c>
      <c r="CM131" s="20"/>
      <c r="CN131" s="20">
        <v>100</v>
      </c>
      <c r="CO131" s="23">
        <f t="shared" ref="CO131:CO157" si="121">SUM(CM131*CN131)</f>
        <v>0</v>
      </c>
      <c r="CP131" s="16"/>
      <c r="CQ131" s="16" t="s">
        <v>42</v>
      </c>
      <c r="CR131" s="16"/>
      <c r="CS131" s="16">
        <v>50000</v>
      </c>
      <c r="CT131" s="23">
        <f t="shared" ref="CT131:CT157" si="122">SUM(CR131*CS131)</f>
        <v>0</v>
      </c>
      <c r="CU131" s="20"/>
      <c r="CV131" s="20" t="s">
        <v>51</v>
      </c>
      <c r="CW131" s="20"/>
      <c r="CX131" s="20">
        <v>100</v>
      </c>
      <c r="CY131" s="23">
        <f t="shared" ref="CY131:CY157" si="123">SUM(CW131*CX131)</f>
        <v>0</v>
      </c>
      <c r="CZ131" s="20"/>
      <c r="DA131" s="20" t="s">
        <v>68</v>
      </c>
      <c r="DB131" s="20"/>
      <c r="DC131" s="20">
        <v>9000</v>
      </c>
      <c r="DD131" s="23">
        <f t="shared" ref="DD131:DD157" si="124">SUM(DB131*DC131)</f>
        <v>0</v>
      </c>
      <c r="DE131" s="16">
        <v>1</v>
      </c>
      <c r="DF131" s="16" t="s">
        <v>417</v>
      </c>
      <c r="DG131" s="16"/>
      <c r="DH131" s="16">
        <v>50000</v>
      </c>
      <c r="DI131" s="16">
        <f t="shared" ref="DI131:DI157" si="125">SUM(DG131*DH131)</f>
        <v>0</v>
      </c>
      <c r="DJ131" s="20"/>
      <c r="DK131" s="20" t="s">
        <v>53</v>
      </c>
      <c r="DL131" s="20"/>
      <c r="DM131" s="20">
        <v>1000</v>
      </c>
      <c r="DN131" s="16">
        <f t="shared" ref="DN131:DN157" si="126">SUM(DL131*DM131)</f>
        <v>0</v>
      </c>
      <c r="DO131" s="20"/>
      <c r="DP131" s="20" t="s">
        <v>54</v>
      </c>
      <c r="DQ131" s="20"/>
      <c r="DR131" s="20">
        <v>450</v>
      </c>
      <c r="DS131" s="16">
        <f t="shared" ref="DS131:DS157" si="127">SUM(DQ131*DR131)</f>
        <v>0</v>
      </c>
      <c r="DT131" s="20"/>
      <c r="DU131" s="20" t="s">
        <v>65</v>
      </c>
      <c r="DV131" s="17"/>
      <c r="DW131" s="17">
        <v>950</v>
      </c>
      <c r="DX131" s="24">
        <f t="shared" ref="DX131:DX157" si="128">DW131*DV131</f>
        <v>0</v>
      </c>
    </row>
    <row r="132" spans="1:128" s="2" customFormat="1" x14ac:dyDescent="0.3">
      <c r="A132" s="20"/>
      <c r="B132" s="16" t="str">
        <f>J129</f>
        <v>IGD</v>
      </c>
      <c r="C132" s="16">
        <f>M158</f>
        <v>0</v>
      </c>
      <c r="D132" s="17"/>
      <c r="E132" s="20" t="s">
        <v>56</v>
      </c>
      <c r="F132" s="17"/>
      <c r="G132" s="17">
        <v>46500</v>
      </c>
      <c r="H132" s="16">
        <f t="shared" si="104"/>
        <v>0</v>
      </c>
      <c r="I132" s="19"/>
      <c r="J132" s="16" t="s">
        <v>297</v>
      </c>
      <c r="K132" s="16"/>
      <c r="L132" s="19">
        <v>350</v>
      </c>
      <c r="M132" s="16">
        <f t="shared" si="105"/>
        <v>0</v>
      </c>
      <c r="N132" s="17"/>
      <c r="O132" s="20" t="s">
        <v>58</v>
      </c>
      <c r="P132" s="21"/>
      <c r="Q132" s="19">
        <v>85000</v>
      </c>
      <c r="R132" s="16">
        <f t="shared" si="106"/>
        <v>0</v>
      </c>
      <c r="S132" s="20"/>
      <c r="T132" s="20" t="s">
        <v>59</v>
      </c>
      <c r="U132" s="20"/>
      <c r="V132" s="20">
        <v>350</v>
      </c>
      <c r="W132" s="16">
        <f t="shared" si="107"/>
        <v>0</v>
      </c>
      <c r="X132" s="16"/>
      <c r="Y132" s="16" t="s">
        <v>60</v>
      </c>
      <c r="Z132" s="16"/>
      <c r="AA132" s="16">
        <v>39000</v>
      </c>
      <c r="AB132" s="16">
        <f t="shared" si="108"/>
        <v>0</v>
      </c>
      <c r="AC132" s="20"/>
      <c r="AD132" s="20" t="s">
        <v>61</v>
      </c>
      <c r="AE132" s="20"/>
      <c r="AF132" s="16">
        <v>5000</v>
      </c>
      <c r="AG132" s="16">
        <f t="shared" si="109"/>
        <v>0</v>
      </c>
      <c r="AH132" s="16"/>
      <c r="AI132" s="16" t="s">
        <v>106</v>
      </c>
      <c r="AJ132" s="22"/>
      <c r="AK132" s="19">
        <v>13250</v>
      </c>
      <c r="AL132" s="16">
        <f t="shared" si="110"/>
        <v>0</v>
      </c>
      <c r="AM132" s="16"/>
      <c r="AN132" s="20" t="s">
        <v>63</v>
      </c>
      <c r="AO132" s="20"/>
      <c r="AP132" s="20">
        <v>5500</v>
      </c>
      <c r="AQ132" s="16">
        <f t="shared" si="111"/>
        <v>0</v>
      </c>
      <c r="AR132" s="16"/>
      <c r="AS132" s="16" t="s">
        <v>42</v>
      </c>
      <c r="AT132" s="16"/>
      <c r="AU132" s="16">
        <v>50000</v>
      </c>
      <c r="AV132" s="16">
        <f t="shared" si="112"/>
        <v>0</v>
      </c>
      <c r="AW132" s="16"/>
      <c r="AX132" s="16" t="s">
        <v>64</v>
      </c>
      <c r="AY132" s="16"/>
      <c r="AZ132" s="16">
        <v>5000</v>
      </c>
      <c r="BA132" s="16">
        <f t="shared" si="113"/>
        <v>0</v>
      </c>
      <c r="BB132" s="20"/>
      <c r="BC132" s="20" t="s">
        <v>65</v>
      </c>
      <c r="BD132" s="17"/>
      <c r="BE132" s="17">
        <v>950</v>
      </c>
      <c r="BF132" s="16">
        <f t="shared" si="114"/>
        <v>0</v>
      </c>
      <c r="BG132" s="20"/>
      <c r="BH132" s="20" t="s">
        <v>59</v>
      </c>
      <c r="BI132" s="20"/>
      <c r="BJ132" s="20">
        <v>350</v>
      </c>
      <c r="BK132" s="16">
        <f t="shared" si="115"/>
        <v>0</v>
      </c>
      <c r="BL132" s="16"/>
      <c r="BM132" s="16" t="s">
        <v>59</v>
      </c>
      <c r="BN132" s="16"/>
      <c r="BO132" s="16">
        <v>350</v>
      </c>
      <c r="BP132" s="16">
        <f t="shared" si="116"/>
        <v>0</v>
      </c>
      <c r="BQ132" s="16"/>
      <c r="BR132" s="16" t="s">
        <v>41</v>
      </c>
      <c r="BS132" s="16"/>
      <c r="BT132" s="16">
        <v>28000</v>
      </c>
      <c r="BU132" s="16">
        <f t="shared" si="117"/>
        <v>0</v>
      </c>
      <c r="BV132" s="16"/>
      <c r="BW132" s="16" t="s">
        <v>66</v>
      </c>
      <c r="BX132" s="19"/>
      <c r="BY132" s="16">
        <v>102600</v>
      </c>
      <c r="BZ132" s="20">
        <f t="shared" si="118"/>
        <v>0</v>
      </c>
      <c r="CA132" s="16"/>
      <c r="CB132" s="16" t="s">
        <v>67</v>
      </c>
      <c r="CC132" s="16"/>
      <c r="CD132" s="16">
        <v>5000</v>
      </c>
      <c r="CE132" s="16">
        <f t="shared" si="119"/>
        <v>0</v>
      </c>
      <c r="CF132" s="16">
        <v>2</v>
      </c>
      <c r="CG132" s="16" t="s">
        <v>45</v>
      </c>
      <c r="CH132" s="16"/>
      <c r="CI132" s="23">
        <v>46500</v>
      </c>
      <c r="CJ132" s="23">
        <f t="shared" si="120"/>
        <v>0</v>
      </c>
      <c r="CK132" s="20"/>
      <c r="CL132" s="20" t="s">
        <v>65</v>
      </c>
      <c r="CM132" s="20"/>
      <c r="CN132" s="20">
        <v>950</v>
      </c>
      <c r="CO132" s="23">
        <f t="shared" si="121"/>
        <v>0</v>
      </c>
      <c r="CP132" s="16"/>
      <c r="CQ132" s="16" t="s">
        <v>54</v>
      </c>
      <c r="CR132" s="16"/>
      <c r="CS132" s="16">
        <v>45000</v>
      </c>
      <c r="CT132" s="23">
        <f t="shared" si="122"/>
        <v>0</v>
      </c>
      <c r="CU132" s="20"/>
      <c r="CV132" s="20" t="s">
        <v>378</v>
      </c>
      <c r="CW132" s="20"/>
      <c r="CX132" s="20">
        <v>3000</v>
      </c>
      <c r="CY132" s="23">
        <f t="shared" si="123"/>
        <v>0</v>
      </c>
      <c r="CZ132" s="20"/>
      <c r="DA132" s="20" t="s">
        <v>57</v>
      </c>
      <c r="DB132" s="20"/>
      <c r="DC132" s="20">
        <v>4000</v>
      </c>
      <c r="DD132" s="23">
        <f t="shared" si="124"/>
        <v>0</v>
      </c>
      <c r="DE132" s="16">
        <v>2</v>
      </c>
      <c r="DF132" s="16" t="s">
        <v>68</v>
      </c>
      <c r="DG132" s="16"/>
      <c r="DH132" s="16">
        <v>9000</v>
      </c>
      <c r="DI132" s="16">
        <f t="shared" si="125"/>
        <v>0</v>
      </c>
      <c r="DJ132" s="20"/>
      <c r="DK132" s="20" t="s">
        <v>69</v>
      </c>
      <c r="DL132" s="20"/>
      <c r="DM132" s="20">
        <v>1000</v>
      </c>
      <c r="DN132" s="16">
        <f t="shared" si="126"/>
        <v>0</v>
      </c>
      <c r="DO132" s="20"/>
      <c r="DP132" s="20" t="s">
        <v>70</v>
      </c>
      <c r="DQ132" s="20"/>
      <c r="DR132" s="20">
        <v>350</v>
      </c>
      <c r="DS132" s="16">
        <f t="shared" si="127"/>
        <v>0</v>
      </c>
      <c r="DT132" s="20"/>
      <c r="DU132" s="20" t="s">
        <v>70</v>
      </c>
      <c r="DV132" s="20"/>
      <c r="DW132" s="20">
        <v>350</v>
      </c>
      <c r="DX132" s="24">
        <f t="shared" si="128"/>
        <v>0</v>
      </c>
    </row>
    <row r="133" spans="1:128" s="2" customFormat="1" x14ac:dyDescent="0.3">
      <c r="A133" s="20"/>
      <c r="B133" s="16" t="str">
        <f>O129</f>
        <v xml:space="preserve">PENDAFTARAN </v>
      </c>
      <c r="C133" s="16">
        <f>R158</f>
        <v>0</v>
      </c>
      <c r="D133" s="17"/>
      <c r="E133" s="20" t="s">
        <v>72</v>
      </c>
      <c r="F133" s="17"/>
      <c r="G133" s="17">
        <v>20000</v>
      </c>
      <c r="H133" s="16">
        <f t="shared" si="104"/>
        <v>0</v>
      </c>
      <c r="I133" s="19"/>
      <c r="J133" s="16" t="s">
        <v>43</v>
      </c>
      <c r="K133" s="16"/>
      <c r="L133" s="19">
        <v>1550</v>
      </c>
      <c r="M133" s="16">
        <f t="shared" si="105"/>
        <v>0</v>
      </c>
      <c r="N133" s="17"/>
      <c r="O133" s="20" t="s">
        <v>385</v>
      </c>
      <c r="P133" s="21"/>
      <c r="Q133" s="19">
        <v>5000</v>
      </c>
      <c r="R133" s="16">
        <f t="shared" si="106"/>
        <v>0</v>
      </c>
      <c r="S133" s="20"/>
      <c r="T133" s="20" t="s">
        <v>74</v>
      </c>
      <c r="U133" s="20"/>
      <c r="V133" s="20">
        <v>3300</v>
      </c>
      <c r="W133" s="16">
        <f t="shared" si="107"/>
        <v>0</v>
      </c>
      <c r="X133" s="16"/>
      <c r="Y133" s="16" t="s">
        <v>69</v>
      </c>
      <c r="Z133" s="16"/>
      <c r="AA133" s="16">
        <v>82000</v>
      </c>
      <c r="AB133" s="16">
        <f t="shared" si="108"/>
        <v>0</v>
      </c>
      <c r="AC133" s="20"/>
      <c r="AD133" s="20" t="s">
        <v>75</v>
      </c>
      <c r="AE133" s="20"/>
      <c r="AF133" s="16">
        <v>250</v>
      </c>
      <c r="AG133" s="16">
        <f t="shared" si="109"/>
        <v>0</v>
      </c>
      <c r="AH133" s="16"/>
      <c r="AI133" s="20" t="s">
        <v>76</v>
      </c>
      <c r="AJ133" s="17"/>
      <c r="AK133" s="20">
        <v>26500</v>
      </c>
      <c r="AL133" s="16">
        <f t="shared" si="110"/>
        <v>0</v>
      </c>
      <c r="AM133" s="16"/>
      <c r="AN133" s="20" t="s">
        <v>77</v>
      </c>
      <c r="AO133" s="20"/>
      <c r="AP133" s="20">
        <v>17000</v>
      </c>
      <c r="AQ133" s="16">
        <f t="shared" si="111"/>
        <v>0</v>
      </c>
      <c r="AR133" s="16"/>
      <c r="AS133" s="20" t="s">
        <v>39</v>
      </c>
      <c r="AT133" s="20"/>
      <c r="AU133" s="20">
        <v>450</v>
      </c>
      <c r="AV133" s="16">
        <f t="shared" si="112"/>
        <v>0</v>
      </c>
      <c r="AW133" s="16"/>
      <c r="AX133" s="16" t="s">
        <v>41</v>
      </c>
      <c r="AY133" s="16"/>
      <c r="AZ133" s="16">
        <v>28000</v>
      </c>
      <c r="BA133" s="16">
        <f t="shared" si="113"/>
        <v>0</v>
      </c>
      <c r="BB133" s="20"/>
      <c r="BC133" s="20" t="s">
        <v>594</v>
      </c>
      <c r="BD133" s="17"/>
      <c r="BE133" s="17">
        <v>250</v>
      </c>
      <c r="BF133" s="16">
        <f t="shared" si="114"/>
        <v>0</v>
      </c>
      <c r="BG133" s="20"/>
      <c r="BH133" s="20" t="s">
        <v>79</v>
      </c>
      <c r="BI133" s="20"/>
      <c r="BJ133" s="20">
        <v>3300</v>
      </c>
      <c r="BK133" s="16">
        <f t="shared" si="115"/>
        <v>0</v>
      </c>
      <c r="BL133" s="16"/>
      <c r="BM133" s="16" t="s">
        <v>79</v>
      </c>
      <c r="BN133" s="16"/>
      <c r="BO133" s="16">
        <v>3300</v>
      </c>
      <c r="BP133" s="16">
        <f t="shared" si="116"/>
        <v>0</v>
      </c>
      <c r="BQ133" s="16"/>
      <c r="BR133" s="16" t="s">
        <v>60</v>
      </c>
      <c r="BS133" s="16"/>
      <c r="BT133" s="16">
        <v>39000</v>
      </c>
      <c r="BU133" s="16">
        <f t="shared" si="117"/>
        <v>0</v>
      </c>
      <c r="BV133" s="16"/>
      <c r="BW133" s="20" t="s">
        <v>68</v>
      </c>
      <c r="BX133" s="21"/>
      <c r="BY133" s="20">
        <v>9000</v>
      </c>
      <c r="BZ133" s="20">
        <f t="shared" si="118"/>
        <v>0</v>
      </c>
      <c r="CA133" s="16"/>
      <c r="CB133" s="16" t="s">
        <v>80</v>
      </c>
      <c r="CC133" s="16"/>
      <c r="CD133" s="16">
        <v>17500</v>
      </c>
      <c r="CE133" s="16">
        <f t="shared" si="119"/>
        <v>0</v>
      </c>
      <c r="CF133" s="16"/>
      <c r="CG133" s="16" t="s">
        <v>81</v>
      </c>
      <c r="CH133" s="16"/>
      <c r="CI133" s="23">
        <v>7500</v>
      </c>
      <c r="CJ133" s="23">
        <f t="shared" si="120"/>
        <v>0</v>
      </c>
      <c r="CK133" s="20"/>
      <c r="CL133" s="20" t="s">
        <v>58</v>
      </c>
      <c r="CM133" s="20"/>
      <c r="CN133" s="20">
        <v>85000</v>
      </c>
      <c r="CO133" s="23">
        <f t="shared" si="121"/>
        <v>0</v>
      </c>
      <c r="CP133" s="16"/>
      <c r="CQ133" s="20" t="s">
        <v>285</v>
      </c>
      <c r="CR133" s="20"/>
      <c r="CS133" s="20">
        <v>8500</v>
      </c>
      <c r="CT133" s="23">
        <f t="shared" si="122"/>
        <v>0</v>
      </c>
      <c r="CU133" s="20"/>
      <c r="CV133" s="20" t="s">
        <v>65</v>
      </c>
      <c r="CW133" s="20"/>
      <c r="CX133" s="20">
        <v>950</v>
      </c>
      <c r="CY133" s="23">
        <f t="shared" si="123"/>
        <v>0</v>
      </c>
      <c r="CZ133" s="20"/>
      <c r="DA133" s="20" t="s">
        <v>83</v>
      </c>
      <c r="DB133" s="20"/>
      <c r="DC133" s="20">
        <v>3300</v>
      </c>
      <c r="DD133" s="23">
        <f t="shared" si="124"/>
        <v>0</v>
      </c>
      <c r="DE133" s="16"/>
      <c r="DF133" s="16" t="s">
        <v>57</v>
      </c>
      <c r="DG133" s="16"/>
      <c r="DH133" s="16">
        <v>4000</v>
      </c>
      <c r="DI133" s="16">
        <f t="shared" si="125"/>
        <v>0</v>
      </c>
      <c r="DJ133" s="20"/>
      <c r="DK133" s="20" t="s">
        <v>51</v>
      </c>
      <c r="DL133" s="20"/>
      <c r="DM133" s="20">
        <v>100</v>
      </c>
      <c r="DN133" s="16">
        <f t="shared" si="126"/>
        <v>0</v>
      </c>
      <c r="DO133" s="20"/>
      <c r="DP133" s="20" t="s">
        <v>84</v>
      </c>
      <c r="DQ133" s="20"/>
      <c r="DR133" s="20">
        <v>100</v>
      </c>
      <c r="DS133" s="16">
        <f t="shared" si="127"/>
        <v>0</v>
      </c>
      <c r="DT133" s="20"/>
      <c r="DU133" s="20" t="s">
        <v>85</v>
      </c>
      <c r="DV133" s="20"/>
      <c r="DW133" s="20">
        <v>250</v>
      </c>
      <c r="DX133" s="24">
        <f t="shared" si="128"/>
        <v>0</v>
      </c>
    </row>
    <row r="134" spans="1:128" s="2" customFormat="1" x14ac:dyDescent="0.3">
      <c r="A134" s="20"/>
      <c r="B134" s="16" t="str">
        <f>T129</f>
        <v>MADINAH 2</v>
      </c>
      <c r="C134" s="16">
        <f>W158</f>
        <v>0</v>
      </c>
      <c r="D134" s="17"/>
      <c r="E134" s="26" t="s">
        <v>43</v>
      </c>
      <c r="F134" s="17"/>
      <c r="G134" s="17">
        <v>1550</v>
      </c>
      <c r="H134" s="16">
        <f t="shared" si="104"/>
        <v>0</v>
      </c>
      <c r="I134" s="19"/>
      <c r="J134" s="16" t="s">
        <v>65</v>
      </c>
      <c r="K134" s="16"/>
      <c r="L134" s="19">
        <v>950</v>
      </c>
      <c r="M134" s="16">
        <f t="shared" si="105"/>
        <v>0</v>
      </c>
      <c r="N134" s="17"/>
      <c r="O134" s="20" t="s">
        <v>43</v>
      </c>
      <c r="P134" s="21"/>
      <c r="Q134" s="19">
        <v>1550</v>
      </c>
      <c r="R134" s="16">
        <f t="shared" si="106"/>
        <v>0</v>
      </c>
      <c r="S134" s="20"/>
      <c r="T134" s="20" t="s">
        <v>86</v>
      </c>
      <c r="U134" s="20"/>
      <c r="V134" s="20">
        <v>2500</v>
      </c>
      <c r="W134" s="16">
        <f t="shared" si="107"/>
        <v>0</v>
      </c>
      <c r="X134" s="16"/>
      <c r="Y134" s="16" t="s">
        <v>53</v>
      </c>
      <c r="Z134" s="16"/>
      <c r="AA134" s="16">
        <v>93000</v>
      </c>
      <c r="AB134" s="16">
        <f t="shared" si="108"/>
        <v>0</v>
      </c>
      <c r="AC134" s="20"/>
      <c r="AD134" s="20" t="s">
        <v>87</v>
      </c>
      <c r="AE134" s="20"/>
      <c r="AF134" s="16">
        <v>1550</v>
      </c>
      <c r="AG134" s="16">
        <f t="shared" si="109"/>
        <v>0</v>
      </c>
      <c r="AH134" s="16"/>
      <c r="AI134" s="16" t="s">
        <v>65</v>
      </c>
      <c r="AJ134" s="22"/>
      <c r="AK134" s="19">
        <v>950</v>
      </c>
      <c r="AL134" s="16">
        <f t="shared" si="110"/>
        <v>0</v>
      </c>
      <c r="AM134" s="16"/>
      <c r="AN134" s="16" t="s">
        <v>45</v>
      </c>
      <c r="AO134" s="16"/>
      <c r="AP134" s="16">
        <v>46500</v>
      </c>
      <c r="AQ134" s="16">
        <f t="shared" si="111"/>
        <v>0</v>
      </c>
      <c r="AR134" s="16"/>
      <c r="AS134" s="20" t="s">
        <v>43</v>
      </c>
      <c r="AT134" s="20"/>
      <c r="AU134" s="20">
        <v>1550</v>
      </c>
      <c r="AV134" s="16">
        <f t="shared" si="112"/>
        <v>0</v>
      </c>
      <c r="AW134" s="16"/>
      <c r="AX134" s="16" t="s">
        <v>60</v>
      </c>
      <c r="AY134" s="16"/>
      <c r="AZ134" s="16">
        <v>39000</v>
      </c>
      <c r="BA134" s="16">
        <f t="shared" si="113"/>
        <v>0</v>
      </c>
      <c r="BB134" s="20"/>
      <c r="BC134" s="20" t="s">
        <v>88</v>
      </c>
      <c r="BD134" s="17"/>
      <c r="BE134" s="17">
        <v>2500</v>
      </c>
      <c r="BF134" s="16">
        <f t="shared" si="114"/>
        <v>0</v>
      </c>
      <c r="BG134" s="20"/>
      <c r="BH134" s="20" t="s">
        <v>89</v>
      </c>
      <c r="BI134" s="20"/>
      <c r="BJ134" s="20">
        <v>2500</v>
      </c>
      <c r="BK134" s="16">
        <f t="shared" si="115"/>
        <v>0</v>
      </c>
      <c r="BL134" s="16"/>
      <c r="BM134" s="16" t="s">
        <v>89</v>
      </c>
      <c r="BN134" s="16"/>
      <c r="BO134" s="16">
        <v>2500</v>
      </c>
      <c r="BP134" s="16">
        <f t="shared" si="116"/>
        <v>0</v>
      </c>
      <c r="BQ134" s="16"/>
      <c r="BR134" s="16" t="s">
        <v>69</v>
      </c>
      <c r="BS134" s="16"/>
      <c r="BT134" s="16">
        <v>92000</v>
      </c>
      <c r="BU134" s="16">
        <f t="shared" si="117"/>
        <v>0</v>
      </c>
      <c r="BV134" s="16"/>
      <c r="BW134" s="20" t="s">
        <v>90</v>
      </c>
      <c r="BX134" s="21"/>
      <c r="BY134" s="20">
        <v>7000</v>
      </c>
      <c r="BZ134" s="20">
        <f t="shared" si="118"/>
        <v>0</v>
      </c>
      <c r="CA134" s="16"/>
      <c r="CB134" s="16"/>
      <c r="CC134" s="16"/>
      <c r="CD134" s="16"/>
      <c r="CE134" s="16">
        <f t="shared" si="119"/>
        <v>0</v>
      </c>
      <c r="CF134" s="16"/>
      <c r="CG134" s="16" t="s">
        <v>43</v>
      </c>
      <c r="CH134" s="16"/>
      <c r="CI134" s="23">
        <v>1550</v>
      </c>
      <c r="CJ134" s="23">
        <f t="shared" si="120"/>
        <v>0</v>
      </c>
      <c r="CK134" s="20"/>
      <c r="CL134" s="20" t="s">
        <v>43</v>
      </c>
      <c r="CM134" s="20"/>
      <c r="CN134" s="20">
        <v>1550</v>
      </c>
      <c r="CO134" s="23">
        <f t="shared" si="121"/>
        <v>0</v>
      </c>
      <c r="CP134" s="16"/>
      <c r="CQ134" s="16" t="s">
        <v>87</v>
      </c>
      <c r="CR134" s="16"/>
      <c r="CS134" s="16">
        <v>1550</v>
      </c>
      <c r="CT134" s="23">
        <f t="shared" si="122"/>
        <v>0</v>
      </c>
      <c r="CU134" s="20"/>
      <c r="CV134" s="20" t="s">
        <v>68</v>
      </c>
      <c r="CW134" s="20"/>
      <c r="CX134" s="20">
        <v>9000</v>
      </c>
      <c r="CY134" s="23">
        <f t="shared" si="123"/>
        <v>0</v>
      </c>
      <c r="CZ134" s="20"/>
      <c r="DA134" s="20" t="s">
        <v>90</v>
      </c>
      <c r="DB134" s="20"/>
      <c r="DC134" s="20">
        <v>7000</v>
      </c>
      <c r="DD134" s="23">
        <f t="shared" si="124"/>
        <v>0</v>
      </c>
      <c r="DE134" s="16"/>
      <c r="DF134" s="16" t="s">
        <v>92</v>
      </c>
      <c r="DG134" s="16"/>
      <c r="DH134" s="16">
        <v>4000</v>
      </c>
      <c r="DI134" s="16">
        <f t="shared" si="125"/>
        <v>0</v>
      </c>
      <c r="DJ134" s="20"/>
      <c r="DK134" s="20" t="s">
        <v>117</v>
      </c>
      <c r="DL134" s="20"/>
      <c r="DM134" s="20">
        <v>250</v>
      </c>
      <c r="DN134" s="16">
        <f t="shared" si="126"/>
        <v>0</v>
      </c>
      <c r="DO134" s="20"/>
      <c r="DP134" s="20" t="s">
        <v>65</v>
      </c>
      <c r="DQ134" s="20"/>
      <c r="DR134" s="20">
        <v>950</v>
      </c>
      <c r="DS134" s="16">
        <f t="shared" si="127"/>
        <v>0</v>
      </c>
      <c r="DT134" s="20"/>
      <c r="DU134" s="20" t="s">
        <v>94</v>
      </c>
      <c r="DV134" s="20"/>
      <c r="DW134" s="20">
        <v>250</v>
      </c>
      <c r="DX134" s="24">
        <f t="shared" si="128"/>
        <v>0</v>
      </c>
    </row>
    <row r="135" spans="1:128" s="2" customFormat="1" x14ac:dyDescent="0.3">
      <c r="A135" s="20"/>
      <c r="B135" s="16" t="str">
        <f>Y129</f>
        <v>PPI</v>
      </c>
      <c r="C135" s="16">
        <f>W159</f>
        <v>0</v>
      </c>
      <c r="D135" s="17"/>
      <c r="E135" s="20" t="s">
        <v>65</v>
      </c>
      <c r="F135" s="17"/>
      <c r="G135" s="17">
        <v>950</v>
      </c>
      <c r="H135" s="16">
        <f t="shared" si="104"/>
        <v>0</v>
      </c>
      <c r="I135" s="19"/>
      <c r="J135" s="16" t="s">
        <v>595</v>
      </c>
      <c r="K135" s="16"/>
      <c r="L135" s="19">
        <v>100</v>
      </c>
      <c r="M135" s="16">
        <f t="shared" si="105"/>
        <v>0</v>
      </c>
      <c r="N135" s="17"/>
      <c r="O135" s="20" t="s">
        <v>50</v>
      </c>
      <c r="P135" s="21"/>
      <c r="Q135" s="19">
        <v>26500</v>
      </c>
      <c r="R135" s="16">
        <f t="shared" si="106"/>
        <v>0</v>
      </c>
      <c r="S135" s="20"/>
      <c r="T135" s="20" t="s">
        <v>43</v>
      </c>
      <c r="U135" s="20"/>
      <c r="V135" s="20">
        <v>1550</v>
      </c>
      <c r="W135" s="16">
        <f t="shared" si="107"/>
        <v>0</v>
      </c>
      <c r="X135" s="16"/>
      <c r="Y135" s="16" t="s">
        <v>68</v>
      </c>
      <c r="Z135" s="16"/>
      <c r="AA135" s="16">
        <v>9000</v>
      </c>
      <c r="AB135" s="16">
        <f t="shared" si="108"/>
        <v>0</v>
      </c>
      <c r="AC135" s="20"/>
      <c r="AD135" s="20" t="s">
        <v>65</v>
      </c>
      <c r="AE135" s="20"/>
      <c r="AF135" s="16">
        <v>950</v>
      </c>
      <c r="AG135" s="16">
        <f t="shared" si="109"/>
        <v>0</v>
      </c>
      <c r="AH135" s="16"/>
      <c r="AI135" s="16" t="s">
        <v>109</v>
      </c>
      <c r="AJ135" s="22"/>
      <c r="AK135" s="19">
        <v>10000</v>
      </c>
      <c r="AL135" s="16">
        <f t="shared" si="110"/>
        <v>0</v>
      </c>
      <c r="AM135" s="16"/>
      <c r="AN135" s="16" t="s">
        <v>68</v>
      </c>
      <c r="AO135" s="16"/>
      <c r="AP135" s="16">
        <v>9000</v>
      </c>
      <c r="AQ135" s="16">
        <f t="shared" si="111"/>
        <v>0</v>
      </c>
      <c r="AR135" s="16"/>
      <c r="AS135" s="16" t="s">
        <v>65</v>
      </c>
      <c r="AT135" s="16"/>
      <c r="AU135" s="16">
        <v>950</v>
      </c>
      <c r="AV135" s="16">
        <f t="shared" si="112"/>
        <v>0</v>
      </c>
      <c r="AW135" s="16"/>
      <c r="AX135" s="16" t="s">
        <v>68</v>
      </c>
      <c r="AY135" s="16"/>
      <c r="AZ135" s="16">
        <v>9000</v>
      </c>
      <c r="BA135" s="16">
        <f t="shared" si="113"/>
        <v>0</v>
      </c>
      <c r="BB135" s="20"/>
      <c r="BC135" s="20" t="s">
        <v>211</v>
      </c>
      <c r="BD135" s="17"/>
      <c r="BE135" s="17">
        <v>250</v>
      </c>
      <c r="BF135" s="16">
        <f t="shared" si="114"/>
        <v>0</v>
      </c>
      <c r="BG135" s="20"/>
      <c r="BH135" s="20" t="s">
        <v>98</v>
      </c>
      <c r="BI135" s="20"/>
      <c r="BJ135" s="20">
        <v>1550</v>
      </c>
      <c r="BK135" s="16">
        <f t="shared" si="115"/>
        <v>0</v>
      </c>
      <c r="BL135" s="16"/>
      <c r="BM135" s="16" t="s">
        <v>43</v>
      </c>
      <c r="BN135" s="16"/>
      <c r="BO135" s="16">
        <v>1550</v>
      </c>
      <c r="BP135" s="16">
        <f t="shared" si="116"/>
        <v>0</v>
      </c>
      <c r="BQ135" s="16"/>
      <c r="BR135" s="16" t="s">
        <v>53</v>
      </c>
      <c r="BS135" s="16"/>
      <c r="BT135" s="16">
        <v>100000</v>
      </c>
      <c r="BU135" s="16">
        <f t="shared" si="117"/>
        <v>0</v>
      </c>
      <c r="BV135" s="16"/>
      <c r="BW135" s="20" t="s">
        <v>99</v>
      </c>
      <c r="BX135" s="20"/>
      <c r="BY135" s="20">
        <v>145000</v>
      </c>
      <c r="BZ135" s="20">
        <f t="shared" si="118"/>
        <v>0</v>
      </c>
      <c r="CA135" s="16"/>
      <c r="CB135" s="16"/>
      <c r="CC135" s="16"/>
      <c r="CD135" s="16"/>
      <c r="CE135" s="16">
        <f t="shared" si="119"/>
        <v>0</v>
      </c>
      <c r="CF135" s="16"/>
      <c r="CG135" s="16" t="s">
        <v>50</v>
      </c>
      <c r="CH135" s="16"/>
      <c r="CI135" s="23">
        <v>26500</v>
      </c>
      <c r="CJ135" s="23">
        <f t="shared" si="120"/>
        <v>0</v>
      </c>
      <c r="CK135" s="20"/>
      <c r="CL135" s="20" t="s">
        <v>242</v>
      </c>
      <c r="CM135" s="20"/>
      <c r="CN135" s="20">
        <v>85000</v>
      </c>
      <c r="CO135" s="23">
        <f t="shared" si="121"/>
        <v>0</v>
      </c>
      <c r="CP135" s="16"/>
      <c r="CQ135" s="16" t="s">
        <v>45</v>
      </c>
      <c r="CR135" s="16"/>
      <c r="CS135" s="16">
        <v>46500</v>
      </c>
      <c r="CT135" s="23">
        <f t="shared" si="122"/>
        <v>0</v>
      </c>
      <c r="CU135" s="20"/>
      <c r="CV135" s="20" t="s">
        <v>57</v>
      </c>
      <c r="CW135" s="20"/>
      <c r="CX135" s="20">
        <v>4000</v>
      </c>
      <c r="CY135" s="23">
        <f t="shared" si="123"/>
        <v>0</v>
      </c>
      <c r="CZ135" s="20"/>
      <c r="DA135" s="20" t="s">
        <v>55</v>
      </c>
      <c r="DB135" s="20"/>
      <c r="DC135" s="20">
        <v>1000</v>
      </c>
      <c r="DD135" s="23">
        <f t="shared" si="124"/>
        <v>0</v>
      </c>
      <c r="DE135" s="16"/>
      <c r="DF135" s="16" t="s">
        <v>103</v>
      </c>
      <c r="DG135" s="16"/>
      <c r="DH135" s="16">
        <v>8000</v>
      </c>
      <c r="DI135" s="16">
        <f t="shared" si="125"/>
        <v>0</v>
      </c>
      <c r="DJ135" s="20"/>
      <c r="DK135" s="20" t="s">
        <v>136</v>
      </c>
      <c r="DL135" s="20"/>
      <c r="DM135" s="20">
        <v>250</v>
      </c>
      <c r="DN135" s="16">
        <f t="shared" si="126"/>
        <v>0</v>
      </c>
      <c r="DO135" s="20"/>
      <c r="DP135" s="20" t="s">
        <v>83</v>
      </c>
      <c r="DQ135" s="20"/>
      <c r="DR135" s="20">
        <v>3300</v>
      </c>
      <c r="DS135" s="16">
        <f t="shared" si="127"/>
        <v>0</v>
      </c>
      <c r="DT135" s="20"/>
      <c r="DU135" s="20" t="s">
        <v>105</v>
      </c>
      <c r="DV135" s="20"/>
      <c r="DW135" s="20">
        <v>700</v>
      </c>
      <c r="DX135" s="24">
        <f t="shared" si="128"/>
        <v>0</v>
      </c>
    </row>
    <row r="136" spans="1:128" s="2" customFormat="1" x14ac:dyDescent="0.3">
      <c r="A136" s="20"/>
      <c r="B136" s="16" t="str">
        <f>AD129</f>
        <v>FARMASI</v>
      </c>
      <c r="C136" s="16">
        <f>AG158</f>
        <v>0</v>
      </c>
      <c r="D136" s="17"/>
      <c r="E136" s="20" t="s">
        <v>106</v>
      </c>
      <c r="F136" s="17"/>
      <c r="G136" s="17">
        <v>26500</v>
      </c>
      <c r="H136" s="16">
        <f t="shared" si="104"/>
        <v>0</v>
      </c>
      <c r="I136" s="19"/>
      <c r="J136" s="16" t="s">
        <v>544</v>
      </c>
      <c r="K136" s="16"/>
      <c r="L136" s="19">
        <v>250</v>
      </c>
      <c r="M136" s="16">
        <f t="shared" si="105"/>
        <v>0</v>
      </c>
      <c r="N136" s="17"/>
      <c r="O136" s="20" t="s">
        <v>108</v>
      </c>
      <c r="P136" s="21"/>
      <c r="Q136" s="19">
        <v>65000</v>
      </c>
      <c r="R136" s="16">
        <f t="shared" si="106"/>
        <v>0</v>
      </c>
      <c r="S136" s="20"/>
      <c r="T136" s="20" t="s">
        <v>65</v>
      </c>
      <c r="U136" s="20"/>
      <c r="V136" s="20">
        <v>950</v>
      </c>
      <c r="W136" s="16">
        <f t="shared" si="107"/>
        <v>0</v>
      </c>
      <c r="X136" s="16"/>
      <c r="Y136" s="16" t="s">
        <v>90</v>
      </c>
      <c r="Z136" s="16"/>
      <c r="AA136" s="16">
        <v>7000</v>
      </c>
      <c r="AB136" s="16">
        <f t="shared" si="108"/>
        <v>0</v>
      </c>
      <c r="AC136" s="20"/>
      <c r="AD136" s="20" t="s">
        <v>108</v>
      </c>
      <c r="AE136" s="20"/>
      <c r="AF136" s="16">
        <v>70000</v>
      </c>
      <c r="AG136" s="16">
        <f t="shared" si="109"/>
        <v>0</v>
      </c>
      <c r="AH136" s="16"/>
      <c r="AI136" s="16" t="s">
        <v>96</v>
      </c>
      <c r="AJ136" s="22"/>
      <c r="AK136" s="19">
        <v>10000</v>
      </c>
      <c r="AL136" s="16">
        <f t="shared" si="110"/>
        <v>0</v>
      </c>
      <c r="AM136" s="16"/>
      <c r="AN136" s="16" t="s">
        <v>110</v>
      </c>
      <c r="AO136" s="16"/>
      <c r="AP136" s="16">
        <v>80000</v>
      </c>
      <c r="AQ136" s="16">
        <f t="shared" si="111"/>
        <v>0</v>
      </c>
      <c r="AR136" s="16"/>
      <c r="AS136" s="16" t="s">
        <v>111</v>
      </c>
      <c r="AT136" s="16"/>
      <c r="AU136" s="16">
        <v>13000</v>
      </c>
      <c r="AV136" s="16">
        <f t="shared" si="112"/>
        <v>0</v>
      </c>
      <c r="AW136" s="16"/>
      <c r="AX136" s="16" t="s">
        <v>90</v>
      </c>
      <c r="AY136" s="16"/>
      <c r="AZ136" s="16">
        <v>7000</v>
      </c>
      <c r="BA136" s="16">
        <f t="shared" si="113"/>
        <v>0</v>
      </c>
      <c r="BB136" s="20"/>
      <c r="BC136" s="20" t="s">
        <v>175</v>
      </c>
      <c r="BD136" s="17"/>
      <c r="BE136" s="17">
        <v>250</v>
      </c>
      <c r="BF136" s="16">
        <f t="shared" si="114"/>
        <v>0</v>
      </c>
      <c r="BG136" s="20"/>
      <c r="BH136" s="20" t="s">
        <v>65</v>
      </c>
      <c r="BI136" s="20"/>
      <c r="BJ136" s="20">
        <v>950</v>
      </c>
      <c r="BK136" s="16">
        <f t="shared" si="115"/>
        <v>0</v>
      </c>
      <c r="BL136" s="16"/>
      <c r="BM136" s="16" t="s">
        <v>65</v>
      </c>
      <c r="BN136" s="16"/>
      <c r="BO136" s="16">
        <v>950</v>
      </c>
      <c r="BP136" s="16">
        <f t="shared" si="116"/>
        <v>0</v>
      </c>
      <c r="BQ136" s="16"/>
      <c r="BR136" s="16" t="s">
        <v>113</v>
      </c>
      <c r="BS136" s="16"/>
      <c r="BT136" s="16">
        <v>5000</v>
      </c>
      <c r="BU136" s="16">
        <f t="shared" si="117"/>
        <v>0</v>
      </c>
      <c r="BV136" s="16"/>
      <c r="BW136" s="16" t="s">
        <v>114</v>
      </c>
      <c r="BX136" s="19"/>
      <c r="BY136" s="16">
        <v>35000</v>
      </c>
      <c r="BZ136" s="20">
        <f t="shared" si="118"/>
        <v>0</v>
      </c>
      <c r="CA136" s="16"/>
      <c r="CB136" s="16"/>
      <c r="CC136" s="16"/>
      <c r="CD136" s="16"/>
      <c r="CE136" s="16">
        <f t="shared" si="119"/>
        <v>0</v>
      </c>
      <c r="CF136" s="16"/>
      <c r="CG136" s="16" t="s">
        <v>58</v>
      </c>
      <c r="CH136" s="16"/>
      <c r="CI136" s="23">
        <v>85000</v>
      </c>
      <c r="CJ136" s="23">
        <f t="shared" si="120"/>
        <v>0</v>
      </c>
      <c r="CK136" s="20"/>
      <c r="CL136" s="20" t="s">
        <v>68</v>
      </c>
      <c r="CM136" s="20"/>
      <c r="CN136" s="20">
        <v>9000</v>
      </c>
      <c r="CO136" s="23">
        <f t="shared" si="121"/>
        <v>0</v>
      </c>
      <c r="CP136" s="16"/>
      <c r="CQ136" s="16" t="s">
        <v>58</v>
      </c>
      <c r="CR136" s="16"/>
      <c r="CS136" s="16">
        <v>85000</v>
      </c>
      <c r="CT136" s="23">
        <f t="shared" si="122"/>
        <v>0</v>
      </c>
      <c r="CU136" s="20"/>
      <c r="CV136" s="20" t="s">
        <v>115</v>
      </c>
      <c r="CW136" s="20"/>
      <c r="CX136" s="20">
        <v>450</v>
      </c>
      <c r="CY136" s="23">
        <f t="shared" si="123"/>
        <v>0</v>
      </c>
      <c r="CZ136" s="20"/>
      <c r="DA136" s="20" t="s">
        <v>65</v>
      </c>
      <c r="DB136" s="20"/>
      <c r="DC136" s="20">
        <v>950</v>
      </c>
      <c r="DD136" s="23">
        <f t="shared" si="124"/>
        <v>0</v>
      </c>
      <c r="DE136" s="16"/>
      <c r="DF136" s="16" t="s">
        <v>51</v>
      </c>
      <c r="DG136" s="16"/>
      <c r="DH136" s="16">
        <v>100</v>
      </c>
      <c r="DI136" s="16">
        <f t="shared" si="125"/>
        <v>0</v>
      </c>
      <c r="DJ136" s="20"/>
      <c r="DK136" s="20" t="s">
        <v>596</v>
      </c>
      <c r="DL136" s="20"/>
      <c r="DM136" s="20">
        <v>250</v>
      </c>
      <c r="DN136" s="16">
        <f t="shared" si="126"/>
        <v>0</v>
      </c>
      <c r="DO136" s="20"/>
      <c r="DP136" s="20" t="s">
        <v>88</v>
      </c>
      <c r="DQ136" s="20"/>
      <c r="DR136" s="20">
        <v>2500</v>
      </c>
      <c r="DS136" s="16">
        <f t="shared" si="127"/>
        <v>0</v>
      </c>
      <c r="DT136" s="20"/>
      <c r="DU136" s="20" t="s">
        <v>68</v>
      </c>
      <c r="DV136" s="20"/>
      <c r="DW136" s="20">
        <v>9000</v>
      </c>
      <c r="DX136" s="24">
        <f t="shared" si="128"/>
        <v>0</v>
      </c>
    </row>
    <row r="137" spans="1:128" s="2" customFormat="1" x14ac:dyDescent="0.3">
      <c r="A137" s="20"/>
      <c r="B137" s="16" t="str">
        <f>AI129</f>
        <v>POLI</v>
      </c>
      <c r="C137" s="16">
        <f>AL158</f>
        <v>0</v>
      </c>
      <c r="D137" s="17"/>
      <c r="E137" s="20" t="s">
        <v>118</v>
      </c>
      <c r="F137" s="17"/>
      <c r="G137" s="17">
        <v>7000</v>
      </c>
      <c r="H137" s="16">
        <f t="shared" si="104"/>
        <v>0</v>
      </c>
      <c r="I137" s="19"/>
      <c r="J137" s="16" t="s">
        <v>529</v>
      </c>
      <c r="K137" s="16"/>
      <c r="L137" s="19">
        <v>700</v>
      </c>
      <c r="M137" s="16">
        <f t="shared" si="105"/>
        <v>0</v>
      </c>
      <c r="N137" s="17"/>
      <c r="O137" s="20" t="s">
        <v>120</v>
      </c>
      <c r="P137" s="21"/>
      <c r="Q137" s="19">
        <v>4230</v>
      </c>
      <c r="R137" s="16">
        <f t="shared" si="106"/>
        <v>0</v>
      </c>
      <c r="S137" s="20"/>
      <c r="T137" s="20" t="s">
        <v>597</v>
      </c>
      <c r="U137" s="20"/>
      <c r="V137" s="20">
        <v>250</v>
      </c>
      <c r="W137" s="16">
        <f t="shared" si="107"/>
        <v>0</v>
      </c>
      <c r="X137" s="16"/>
      <c r="Y137" s="20" t="s">
        <v>57</v>
      </c>
      <c r="Z137" s="20"/>
      <c r="AA137" s="20">
        <v>4000</v>
      </c>
      <c r="AB137" s="16">
        <f t="shared" si="108"/>
        <v>0</v>
      </c>
      <c r="AC137" s="20"/>
      <c r="AD137" s="20" t="s">
        <v>68</v>
      </c>
      <c r="AE137" s="20"/>
      <c r="AF137" s="16">
        <v>9000</v>
      </c>
      <c r="AG137" s="16">
        <f t="shared" si="109"/>
        <v>0</v>
      </c>
      <c r="AH137" s="16"/>
      <c r="AI137" s="20" t="s">
        <v>219</v>
      </c>
      <c r="AJ137" s="20"/>
      <c r="AK137" s="16">
        <v>4900</v>
      </c>
      <c r="AL137" s="16">
        <f t="shared" si="110"/>
        <v>0</v>
      </c>
      <c r="AM137" s="16"/>
      <c r="AN137" s="16" t="s">
        <v>155</v>
      </c>
      <c r="AO137" s="16"/>
      <c r="AP137" s="16">
        <v>5000</v>
      </c>
      <c r="AQ137" s="16">
        <f t="shared" si="111"/>
        <v>0</v>
      </c>
      <c r="AR137" s="16"/>
      <c r="AS137" s="16" t="s">
        <v>68</v>
      </c>
      <c r="AT137" s="16"/>
      <c r="AU137" s="16">
        <v>9000</v>
      </c>
      <c r="AV137" s="16">
        <f t="shared" si="112"/>
        <v>0</v>
      </c>
      <c r="AW137" s="16"/>
      <c r="AX137" s="16" t="s">
        <v>57</v>
      </c>
      <c r="AY137" s="16"/>
      <c r="AZ137" s="16">
        <v>4000</v>
      </c>
      <c r="BA137" s="16">
        <f t="shared" si="113"/>
        <v>0</v>
      </c>
      <c r="BB137" s="20"/>
      <c r="BC137" s="20" t="s">
        <v>598</v>
      </c>
      <c r="BD137" s="17"/>
      <c r="BE137" s="17">
        <v>250</v>
      </c>
      <c r="BF137" s="16">
        <f t="shared" si="114"/>
        <v>0</v>
      </c>
      <c r="BG137" s="20"/>
      <c r="BH137" s="20" t="s">
        <v>124</v>
      </c>
      <c r="BI137" s="20"/>
      <c r="BJ137" s="20">
        <v>250</v>
      </c>
      <c r="BK137" s="16">
        <f t="shared" si="115"/>
        <v>0</v>
      </c>
      <c r="BL137" s="16"/>
      <c r="BM137" s="16" t="s">
        <v>599</v>
      </c>
      <c r="BN137" s="16"/>
      <c r="BO137" s="16">
        <v>250</v>
      </c>
      <c r="BP137" s="16">
        <f t="shared" si="116"/>
        <v>0</v>
      </c>
      <c r="BQ137" s="16"/>
      <c r="BR137" s="16" t="s">
        <v>126</v>
      </c>
      <c r="BS137" s="16"/>
      <c r="BT137" s="16">
        <v>12000</v>
      </c>
      <c r="BU137" s="16">
        <f t="shared" si="117"/>
        <v>0</v>
      </c>
      <c r="BV137" s="16"/>
      <c r="BW137" s="16" t="s">
        <v>127</v>
      </c>
      <c r="BX137" s="19"/>
      <c r="BY137" s="16">
        <v>96450</v>
      </c>
      <c r="BZ137" s="20">
        <f t="shared" si="118"/>
        <v>0</v>
      </c>
      <c r="CA137" s="16"/>
      <c r="CB137" s="16"/>
      <c r="CC137" s="16"/>
      <c r="CD137" s="16"/>
      <c r="CE137" s="16">
        <f t="shared" si="119"/>
        <v>0</v>
      </c>
      <c r="CF137" s="16"/>
      <c r="CG137" s="16" t="s">
        <v>128</v>
      </c>
      <c r="CH137" s="16"/>
      <c r="CI137" s="23">
        <v>2000</v>
      </c>
      <c r="CJ137" s="23">
        <f t="shared" si="120"/>
        <v>0</v>
      </c>
      <c r="CK137" s="20"/>
      <c r="CL137" s="20"/>
      <c r="CM137" s="20"/>
      <c r="CN137" s="20"/>
      <c r="CO137" s="23">
        <f t="shared" si="121"/>
        <v>0</v>
      </c>
      <c r="CP137" s="16"/>
      <c r="CQ137" s="16" t="s">
        <v>65</v>
      </c>
      <c r="CR137" s="16"/>
      <c r="CS137" s="16">
        <v>950</v>
      </c>
      <c r="CT137" s="23">
        <f t="shared" si="122"/>
        <v>0</v>
      </c>
      <c r="CU137" s="20"/>
      <c r="CV137" s="20" t="s">
        <v>70</v>
      </c>
      <c r="CW137" s="20"/>
      <c r="CX137" s="20">
        <v>350</v>
      </c>
      <c r="CY137" s="23">
        <f t="shared" si="123"/>
        <v>0</v>
      </c>
      <c r="CZ137" s="20"/>
      <c r="DA137" s="20" t="s">
        <v>121</v>
      </c>
      <c r="DB137" s="20"/>
      <c r="DC137" s="20">
        <v>250</v>
      </c>
      <c r="DD137" s="23">
        <f t="shared" si="124"/>
        <v>0</v>
      </c>
      <c r="DE137" s="16"/>
      <c r="DF137" s="16" t="s">
        <v>178</v>
      </c>
      <c r="DG137" s="16"/>
      <c r="DH137" s="16">
        <v>250</v>
      </c>
      <c r="DI137" s="16">
        <f t="shared" si="125"/>
        <v>0</v>
      </c>
      <c r="DJ137" s="20"/>
      <c r="DK137" s="20" t="s">
        <v>188</v>
      </c>
      <c r="DL137" s="20"/>
      <c r="DM137" s="20">
        <v>250</v>
      </c>
      <c r="DN137" s="16">
        <f t="shared" si="126"/>
        <v>0</v>
      </c>
      <c r="DO137" s="20"/>
      <c r="DP137" s="20" t="s">
        <v>68</v>
      </c>
      <c r="DQ137" s="20"/>
      <c r="DR137" s="20">
        <v>9000</v>
      </c>
      <c r="DS137" s="16">
        <f t="shared" si="127"/>
        <v>0</v>
      </c>
      <c r="DT137" s="20"/>
      <c r="DU137" s="20" t="s">
        <v>57</v>
      </c>
      <c r="DV137" s="20"/>
      <c r="DW137" s="20">
        <v>4000</v>
      </c>
      <c r="DX137" s="24">
        <f t="shared" si="128"/>
        <v>0</v>
      </c>
    </row>
    <row r="138" spans="1:128" s="2" customFormat="1" x14ac:dyDescent="0.3">
      <c r="A138" s="20"/>
      <c r="B138" s="16" t="str">
        <f>AN129</f>
        <v>RADIOLOGI</v>
      </c>
      <c r="C138" s="16">
        <f>AQ158</f>
        <v>0</v>
      </c>
      <c r="D138" s="17"/>
      <c r="E138" s="20" t="s">
        <v>50</v>
      </c>
      <c r="F138" s="17"/>
      <c r="G138" s="17">
        <v>26500</v>
      </c>
      <c r="H138" s="16">
        <f t="shared" si="104"/>
        <v>0</v>
      </c>
      <c r="I138" s="19"/>
      <c r="J138" s="16" t="s">
        <v>105</v>
      </c>
      <c r="K138" s="16"/>
      <c r="L138" s="19">
        <v>700</v>
      </c>
      <c r="M138" s="16">
        <f t="shared" si="105"/>
        <v>0</v>
      </c>
      <c r="N138" s="17"/>
      <c r="O138" s="20" t="s">
        <v>132</v>
      </c>
      <c r="P138" s="21"/>
      <c r="Q138" s="19">
        <v>2200</v>
      </c>
      <c r="R138" s="16">
        <f t="shared" si="106"/>
        <v>0</v>
      </c>
      <c r="S138" s="20"/>
      <c r="T138" s="20" t="s">
        <v>365</v>
      </c>
      <c r="U138" s="20"/>
      <c r="V138" s="20">
        <v>250</v>
      </c>
      <c r="W138" s="16">
        <f t="shared" si="107"/>
        <v>0</v>
      </c>
      <c r="X138" s="16"/>
      <c r="Y138" s="16"/>
      <c r="Z138" s="16"/>
      <c r="AA138" s="16"/>
      <c r="AB138" s="16">
        <f t="shared" si="108"/>
        <v>0</v>
      </c>
      <c r="AC138" s="20"/>
      <c r="AD138" s="20" t="s">
        <v>57</v>
      </c>
      <c r="AE138" s="20"/>
      <c r="AF138" s="16">
        <v>4000</v>
      </c>
      <c r="AG138" s="16">
        <f t="shared" si="109"/>
        <v>0</v>
      </c>
      <c r="AH138" s="16"/>
      <c r="AI138" s="16" t="s">
        <v>68</v>
      </c>
      <c r="AJ138" s="22"/>
      <c r="AK138" s="19">
        <v>9000</v>
      </c>
      <c r="AL138" s="16">
        <f t="shared" si="110"/>
        <v>0</v>
      </c>
      <c r="AM138" s="16"/>
      <c r="AN138" s="16" t="s">
        <v>90</v>
      </c>
      <c r="AO138" s="16"/>
      <c r="AP138" s="16">
        <v>7000</v>
      </c>
      <c r="AQ138" s="16">
        <f t="shared" si="111"/>
        <v>0</v>
      </c>
      <c r="AR138" s="16"/>
      <c r="AS138" s="16" t="s">
        <v>57</v>
      </c>
      <c r="AT138" s="16"/>
      <c r="AU138" s="16">
        <v>4000</v>
      </c>
      <c r="AV138" s="16">
        <f t="shared" si="112"/>
        <v>0</v>
      </c>
      <c r="AW138" s="16"/>
      <c r="AX138" s="16" t="s">
        <v>69</v>
      </c>
      <c r="AY138" s="16"/>
      <c r="AZ138" s="16">
        <v>1000</v>
      </c>
      <c r="BA138" s="16">
        <f t="shared" si="113"/>
        <v>0</v>
      </c>
      <c r="BB138" s="20"/>
      <c r="BC138" s="20" t="s">
        <v>401</v>
      </c>
      <c r="BD138" s="17"/>
      <c r="BE138" s="17">
        <v>350</v>
      </c>
      <c r="BF138" s="16">
        <f t="shared" si="114"/>
        <v>0</v>
      </c>
      <c r="BG138" s="20"/>
      <c r="BH138" s="20" t="s">
        <v>600</v>
      </c>
      <c r="BI138" s="20"/>
      <c r="BJ138" s="20">
        <v>250</v>
      </c>
      <c r="BK138" s="16">
        <f t="shared" si="115"/>
        <v>0</v>
      </c>
      <c r="BL138" s="16"/>
      <c r="BM138" s="16" t="s">
        <v>463</v>
      </c>
      <c r="BN138" s="16"/>
      <c r="BO138" s="16">
        <v>250</v>
      </c>
      <c r="BP138" s="16">
        <f t="shared" si="116"/>
        <v>0</v>
      </c>
      <c r="BQ138" s="16"/>
      <c r="BR138" s="16" t="s">
        <v>138</v>
      </c>
      <c r="BS138" s="16"/>
      <c r="BT138" s="16">
        <v>35000</v>
      </c>
      <c r="BU138" s="16">
        <f t="shared" si="117"/>
        <v>0</v>
      </c>
      <c r="BV138" s="16"/>
      <c r="BW138" s="16" t="s">
        <v>139</v>
      </c>
      <c r="BX138" s="19"/>
      <c r="BY138" s="16">
        <v>104500</v>
      </c>
      <c r="BZ138" s="20">
        <f t="shared" si="118"/>
        <v>0</v>
      </c>
      <c r="CA138" s="16"/>
      <c r="CB138" s="16"/>
      <c r="CC138" s="16"/>
      <c r="CD138" s="16"/>
      <c r="CE138" s="16">
        <f t="shared" si="119"/>
        <v>0</v>
      </c>
      <c r="CF138" s="16"/>
      <c r="CG138" s="16" t="s">
        <v>65</v>
      </c>
      <c r="CH138" s="16"/>
      <c r="CI138" s="23">
        <v>1000</v>
      </c>
      <c r="CJ138" s="23">
        <f t="shared" si="120"/>
        <v>0</v>
      </c>
      <c r="CK138" s="20"/>
      <c r="CL138" s="20"/>
      <c r="CM138" s="20"/>
      <c r="CN138" s="20"/>
      <c r="CO138" s="23">
        <f t="shared" si="121"/>
        <v>0</v>
      </c>
      <c r="CP138" s="16"/>
      <c r="CQ138" s="16" t="s">
        <v>178</v>
      </c>
      <c r="CR138" s="16"/>
      <c r="CS138" s="16">
        <v>250</v>
      </c>
      <c r="CT138" s="23">
        <f t="shared" si="122"/>
        <v>0</v>
      </c>
      <c r="CU138" s="20"/>
      <c r="CV138" s="20" t="s">
        <v>83</v>
      </c>
      <c r="CW138" s="20"/>
      <c r="CX138" s="20">
        <v>3300</v>
      </c>
      <c r="CY138" s="23">
        <f t="shared" si="123"/>
        <v>0</v>
      </c>
      <c r="CZ138" s="20"/>
      <c r="DA138" s="20" t="s">
        <v>550</v>
      </c>
      <c r="DB138" s="20"/>
      <c r="DC138" s="20">
        <v>250</v>
      </c>
      <c r="DD138" s="23">
        <f t="shared" si="124"/>
        <v>0</v>
      </c>
      <c r="DE138" s="16"/>
      <c r="DF138" s="16" t="s">
        <v>206</v>
      </c>
      <c r="DG138" s="16"/>
      <c r="DH138" s="16">
        <v>2000</v>
      </c>
      <c r="DI138" s="16">
        <f t="shared" si="125"/>
        <v>0</v>
      </c>
      <c r="DJ138" s="20"/>
      <c r="DK138" s="20" t="s">
        <v>142</v>
      </c>
      <c r="DL138" s="20"/>
      <c r="DM138" s="20">
        <v>250</v>
      </c>
      <c r="DN138" s="16">
        <f t="shared" si="126"/>
        <v>0</v>
      </c>
      <c r="DO138" s="20"/>
      <c r="DP138" s="20" t="s">
        <v>57</v>
      </c>
      <c r="DQ138" s="20"/>
      <c r="DR138" s="20">
        <v>4000</v>
      </c>
      <c r="DS138" s="16">
        <f t="shared" si="127"/>
        <v>0</v>
      </c>
      <c r="DT138" s="20"/>
      <c r="DU138" s="20" t="s">
        <v>142</v>
      </c>
      <c r="DV138" s="20"/>
      <c r="DW138" s="20">
        <v>250</v>
      </c>
      <c r="DX138" s="24">
        <f t="shared" si="128"/>
        <v>0</v>
      </c>
    </row>
    <row r="139" spans="1:128" s="2" customFormat="1" x14ac:dyDescent="0.3">
      <c r="A139" s="20"/>
      <c r="B139" s="16" t="str">
        <f>AS129</f>
        <v>LABORAT</v>
      </c>
      <c r="C139" s="16">
        <f>AV158</f>
        <v>0</v>
      </c>
      <c r="D139" s="17"/>
      <c r="E139" s="20" t="s">
        <v>143</v>
      </c>
      <c r="F139" s="17"/>
      <c r="G139" s="17">
        <v>15000</v>
      </c>
      <c r="H139" s="16">
        <f t="shared" si="104"/>
        <v>0</v>
      </c>
      <c r="I139" s="19"/>
      <c r="J139" s="16" t="s">
        <v>144</v>
      </c>
      <c r="K139" s="16"/>
      <c r="L139" s="19">
        <v>700</v>
      </c>
      <c r="M139" s="16">
        <f t="shared" si="105"/>
        <v>0</v>
      </c>
      <c r="N139" s="17"/>
      <c r="O139" s="20" t="s">
        <v>134</v>
      </c>
      <c r="P139" s="21"/>
      <c r="Q139" s="19">
        <v>8500</v>
      </c>
      <c r="R139" s="16">
        <f t="shared" si="106"/>
        <v>0</v>
      </c>
      <c r="S139" s="20"/>
      <c r="T139" s="20" t="s">
        <v>100</v>
      </c>
      <c r="U139" s="20"/>
      <c r="V139" s="20">
        <v>6500</v>
      </c>
      <c r="W139" s="16">
        <f t="shared" si="107"/>
        <v>0</v>
      </c>
      <c r="X139" s="16"/>
      <c r="Y139" s="16"/>
      <c r="Z139" s="16"/>
      <c r="AA139" s="16"/>
      <c r="AB139" s="16">
        <f t="shared" si="108"/>
        <v>0</v>
      </c>
      <c r="AC139" s="20"/>
      <c r="AD139" s="20" t="s">
        <v>145</v>
      </c>
      <c r="AE139" s="20"/>
      <c r="AF139" s="16">
        <v>3500</v>
      </c>
      <c r="AG139" s="16">
        <f t="shared" si="109"/>
        <v>0</v>
      </c>
      <c r="AH139" s="16"/>
      <c r="AI139" s="16" t="s">
        <v>57</v>
      </c>
      <c r="AJ139" s="22"/>
      <c r="AK139" s="19">
        <v>4000</v>
      </c>
      <c r="AL139" s="16">
        <f t="shared" si="110"/>
        <v>0</v>
      </c>
      <c r="AM139" s="16"/>
      <c r="AN139" s="16" t="s">
        <v>572</v>
      </c>
      <c r="AO139" s="16"/>
      <c r="AP139" s="16">
        <v>85000</v>
      </c>
      <c r="AQ139" s="16">
        <f t="shared" si="111"/>
        <v>0</v>
      </c>
      <c r="AR139" s="16"/>
      <c r="AS139" s="16" t="s">
        <v>90</v>
      </c>
      <c r="AT139" s="16"/>
      <c r="AU139" s="16">
        <v>7000</v>
      </c>
      <c r="AV139" s="16">
        <f t="shared" si="112"/>
        <v>0</v>
      </c>
      <c r="AW139" s="16"/>
      <c r="AX139" s="16" t="s">
        <v>126</v>
      </c>
      <c r="AY139" s="16"/>
      <c r="AZ139" s="16">
        <v>10000</v>
      </c>
      <c r="BA139" s="16">
        <f t="shared" si="113"/>
        <v>0</v>
      </c>
      <c r="BB139" s="20"/>
      <c r="BC139" s="20" t="s">
        <v>315</v>
      </c>
      <c r="BD139" s="17"/>
      <c r="BE139" s="17">
        <v>250</v>
      </c>
      <c r="BF139" s="16">
        <f t="shared" si="114"/>
        <v>0</v>
      </c>
      <c r="BG139" s="20"/>
      <c r="BH139" s="20" t="s">
        <v>93</v>
      </c>
      <c r="BI139" s="20"/>
      <c r="BJ139" s="20">
        <v>250</v>
      </c>
      <c r="BK139" s="16">
        <f t="shared" si="115"/>
        <v>0</v>
      </c>
      <c r="BL139" s="16"/>
      <c r="BM139" s="16" t="s">
        <v>344</v>
      </c>
      <c r="BN139" s="16"/>
      <c r="BO139" s="16">
        <v>250</v>
      </c>
      <c r="BP139" s="16">
        <f t="shared" si="116"/>
        <v>0</v>
      </c>
      <c r="BQ139" s="16"/>
      <c r="BR139" s="16" t="s">
        <v>149</v>
      </c>
      <c r="BS139" s="16"/>
      <c r="BT139" s="16">
        <v>60000</v>
      </c>
      <c r="BU139" s="16">
        <f t="shared" si="117"/>
        <v>0</v>
      </c>
      <c r="BV139" s="16"/>
      <c r="BW139" s="16" t="s">
        <v>65</v>
      </c>
      <c r="BX139" s="16"/>
      <c r="BY139" s="16">
        <v>950</v>
      </c>
      <c r="BZ139" s="20">
        <f t="shared" si="118"/>
        <v>0</v>
      </c>
      <c r="CA139" s="16"/>
      <c r="CB139" s="16"/>
      <c r="CC139" s="16"/>
      <c r="CD139" s="16"/>
      <c r="CE139" s="16">
        <f t="shared" si="119"/>
        <v>0</v>
      </c>
      <c r="CF139" s="16"/>
      <c r="CG139" s="16" t="s">
        <v>68</v>
      </c>
      <c r="CH139" s="16"/>
      <c r="CI139" s="23">
        <v>9000</v>
      </c>
      <c r="CJ139" s="23">
        <f t="shared" si="120"/>
        <v>0</v>
      </c>
      <c r="CK139" s="20"/>
      <c r="CL139" s="20"/>
      <c r="CM139" s="20"/>
      <c r="CN139" s="20"/>
      <c r="CO139" s="23">
        <f t="shared" si="121"/>
        <v>0</v>
      </c>
      <c r="CP139" s="16"/>
      <c r="CQ139" s="16" t="s">
        <v>57</v>
      </c>
      <c r="CR139" s="16"/>
      <c r="CS139" s="16">
        <v>4000</v>
      </c>
      <c r="CT139" s="23">
        <f t="shared" si="122"/>
        <v>0</v>
      </c>
      <c r="CU139" s="20"/>
      <c r="CV139" s="20" t="s">
        <v>88</v>
      </c>
      <c r="CW139" s="20"/>
      <c r="CX139" s="20">
        <v>2500</v>
      </c>
      <c r="CY139" s="23">
        <f t="shared" si="123"/>
        <v>0</v>
      </c>
      <c r="CZ139" s="20"/>
      <c r="DA139" s="20" t="s">
        <v>515</v>
      </c>
      <c r="DB139" s="20"/>
      <c r="DC139" s="20">
        <v>250</v>
      </c>
      <c r="DD139" s="23">
        <f t="shared" si="124"/>
        <v>0</v>
      </c>
      <c r="DE139" s="16"/>
      <c r="DF139" s="16" t="s">
        <v>69</v>
      </c>
      <c r="DG139" s="16"/>
      <c r="DH139" s="16">
        <v>83000</v>
      </c>
      <c r="DI139" s="16">
        <f t="shared" si="125"/>
        <v>0</v>
      </c>
      <c r="DJ139" s="20"/>
      <c r="DK139" s="20" t="s">
        <v>70</v>
      </c>
      <c r="DL139" s="20"/>
      <c r="DM139" s="20">
        <v>350</v>
      </c>
      <c r="DN139" s="16">
        <f t="shared" si="126"/>
        <v>0</v>
      </c>
      <c r="DO139" s="20"/>
      <c r="DP139" s="20" t="s">
        <v>152</v>
      </c>
      <c r="DQ139" s="20"/>
      <c r="DR139" s="20">
        <v>3000</v>
      </c>
      <c r="DS139" s="16">
        <f t="shared" si="127"/>
        <v>0</v>
      </c>
      <c r="DT139" s="20"/>
      <c r="DU139" s="20" t="s">
        <v>601</v>
      </c>
      <c r="DV139" s="20"/>
      <c r="DW139" s="20">
        <v>250</v>
      </c>
      <c r="DX139" s="24">
        <f t="shared" si="128"/>
        <v>0</v>
      </c>
    </row>
    <row r="140" spans="1:128" s="2" customFormat="1" x14ac:dyDescent="0.3">
      <c r="A140" s="20"/>
      <c r="B140" s="16" t="str">
        <f>AX129</f>
        <v>OK</v>
      </c>
      <c r="C140" s="16">
        <f>BA158</f>
        <v>0</v>
      </c>
      <c r="D140" s="17"/>
      <c r="E140" s="20" t="s">
        <v>242</v>
      </c>
      <c r="F140" s="17"/>
      <c r="G140" s="17">
        <v>85000</v>
      </c>
      <c r="H140" s="16">
        <f t="shared" si="104"/>
        <v>0</v>
      </c>
      <c r="I140" s="19"/>
      <c r="J140" s="16" t="s">
        <v>175</v>
      </c>
      <c r="K140" s="16"/>
      <c r="L140" s="19">
        <v>250</v>
      </c>
      <c r="M140" s="16">
        <f t="shared" si="105"/>
        <v>0</v>
      </c>
      <c r="N140" s="17"/>
      <c r="O140" s="20" t="s">
        <v>154</v>
      </c>
      <c r="P140" s="21"/>
      <c r="Q140" s="19">
        <v>15000</v>
      </c>
      <c r="R140" s="16">
        <f t="shared" si="106"/>
        <v>0</v>
      </c>
      <c r="S140" s="20"/>
      <c r="T140" s="20" t="s">
        <v>68</v>
      </c>
      <c r="U140" s="20"/>
      <c r="V140" s="20">
        <v>7000</v>
      </c>
      <c r="W140" s="16">
        <f t="shared" si="107"/>
        <v>0</v>
      </c>
      <c r="X140" s="16"/>
      <c r="Y140" s="16"/>
      <c r="Z140" s="16"/>
      <c r="AA140" s="16"/>
      <c r="AB140" s="16">
        <f t="shared" si="108"/>
        <v>0</v>
      </c>
      <c r="AC140" s="20"/>
      <c r="AD140" s="20" t="s">
        <v>90</v>
      </c>
      <c r="AE140" s="20"/>
      <c r="AF140" s="16">
        <v>7000</v>
      </c>
      <c r="AG140" s="16">
        <f t="shared" si="109"/>
        <v>0</v>
      </c>
      <c r="AH140" s="16"/>
      <c r="AI140" s="16" t="s">
        <v>90</v>
      </c>
      <c r="AJ140" s="22"/>
      <c r="AK140" s="19">
        <v>7000</v>
      </c>
      <c r="AL140" s="16">
        <f t="shared" si="110"/>
        <v>0</v>
      </c>
      <c r="AM140" s="16"/>
      <c r="AN140" s="16" t="s">
        <v>155</v>
      </c>
      <c r="AO140" s="16"/>
      <c r="AP140" s="16">
        <v>5000</v>
      </c>
      <c r="AQ140" s="16">
        <f t="shared" si="111"/>
        <v>0</v>
      </c>
      <c r="AR140" s="16"/>
      <c r="AS140" s="16" t="s">
        <v>220</v>
      </c>
      <c r="AT140" s="16"/>
      <c r="AU140" s="16">
        <v>5000</v>
      </c>
      <c r="AV140" s="16">
        <f t="shared" si="112"/>
        <v>0</v>
      </c>
      <c r="AW140" s="16"/>
      <c r="AX140" s="16" t="s">
        <v>157</v>
      </c>
      <c r="AY140" s="16"/>
      <c r="AZ140" s="16">
        <v>15000</v>
      </c>
      <c r="BA140" s="16">
        <f t="shared" si="113"/>
        <v>0</v>
      </c>
      <c r="BB140" s="20"/>
      <c r="BC140" s="20" t="s">
        <v>68</v>
      </c>
      <c r="BD140" s="17"/>
      <c r="BE140" s="17">
        <v>9000</v>
      </c>
      <c r="BF140" s="16">
        <f t="shared" si="114"/>
        <v>0</v>
      </c>
      <c r="BG140" s="20"/>
      <c r="BH140" s="20" t="s">
        <v>69</v>
      </c>
      <c r="BI140" s="20"/>
      <c r="BJ140" s="20">
        <v>1000</v>
      </c>
      <c r="BK140" s="16">
        <f t="shared" si="115"/>
        <v>0</v>
      </c>
      <c r="BL140" s="16"/>
      <c r="BM140" s="16" t="s">
        <v>68</v>
      </c>
      <c r="BN140" s="16"/>
      <c r="BO140" s="16">
        <v>7000</v>
      </c>
      <c r="BP140" s="16">
        <f t="shared" si="116"/>
        <v>0</v>
      </c>
      <c r="BQ140" s="16"/>
      <c r="BR140" s="16" t="s">
        <v>159</v>
      </c>
      <c r="BS140" s="16"/>
      <c r="BT140" s="16">
        <v>23000</v>
      </c>
      <c r="BU140" s="16">
        <f t="shared" si="117"/>
        <v>0</v>
      </c>
      <c r="BV140" s="16"/>
      <c r="BW140" s="16" t="s">
        <v>312</v>
      </c>
      <c r="BX140" s="16"/>
      <c r="BY140" s="16">
        <v>12000</v>
      </c>
      <c r="BZ140" s="20">
        <f t="shared" si="118"/>
        <v>0</v>
      </c>
      <c r="CA140" s="16"/>
      <c r="CB140" s="16"/>
      <c r="CC140" s="16"/>
      <c r="CD140" s="16"/>
      <c r="CE140" s="16">
        <f t="shared" si="119"/>
        <v>0</v>
      </c>
      <c r="CF140" s="16"/>
      <c r="CG140" s="16" t="s">
        <v>160</v>
      </c>
      <c r="CH140" s="16"/>
      <c r="CI140" s="23">
        <v>250</v>
      </c>
      <c r="CJ140" s="23">
        <f t="shared" si="120"/>
        <v>0</v>
      </c>
      <c r="CK140" s="20"/>
      <c r="CL140" s="20"/>
      <c r="CM140" s="20"/>
      <c r="CN140" s="20"/>
      <c r="CO140" s="23">
        <f t="shared" si="121"/>
        <v>0</v>
      </c>
      <c r="CP140" s="16"/>
      <c r="CQ140" s="16" t="s">
        <v>161</v>
      </c>
      <c r="CR140" s="16"/>
      <c r="CS140" s="16">
        <v>15000</v>
      </c>
      <c r="CT140" s="23">
        <f t="shared" si="122"/>
        <v>0</v>
      </c>
      <c r="CU140" s="20"/>
      <c r="CV140" s="20" t="s">
        <v>90</v>
      </c>
      <c r="CW140" s="20"/>
      <c r="CX140" s="20">
        <v>7000</v>
      </c>
      <c r="CY140" s="23">
        <f t="shared" si="123"/>
        <v>0</v>
      </c>
      <c r="CZ140" s="20"/>
      <c r="DA140" s="20" t="s">
        <v>490</v>
      </c>
      <c r="DB140" s="20"/>
      <c r="DC140" s="20">
        <v>250</v>
      </c>
      <c r="DD140" s="23">
        <f t="shared" si="124"/>
        <v>0</v>
      </c>
      <c r="DE140" s="16"/>
      <c r="DF140" s="16" t="s">
        <v>113</v>
      </c>
      <c r="DG140" s="16"/>
      <c r="DH140" s="16">
        <v>5000</v>
      </c>
      <c r="DI140" s="16">
        <f t="shared" si="125"/>
        <v>0</v>
      </c>
      <c r="DJ140" s="20"/>
      <c r="DK140" s="20" t="s">
        <v>602</v>
      </c>
      <c r="DL140" s="20"/>
      <c r="DM140" s="20">
        <v>250</v>
      </c>
      <c r="DN140" s="16">
        <f t="shared" si="126"/>
        <v>0</v>
      </c>
      <c r="DO140" s="20"/>
      <c r="DP140" s="20" t="s">
        <v>131</v>
      </c>
      <c r="DQ140" s="20"/>
      <c r="DR140" s="20">
        <v>250</v>
      </c>
      <c r="DS140" s="16">
        <f t="shared" si="127"/>
        <v>0</v>
      </c>
      <c r="DT140" s="20"/>
      <c r="DU140" s="20" t="s">
        <v>54</v>
      </c>
      <c r="DV140" s="20"/>
      <c r="DW140" s="20">
        <v>450</v>
      </c>
      <c r="DX140" s="24">
        <f t="shared" si="128"/>
        <v>0</v>
      </c>
    </row>
    <row r="141" spans="1:128" s="2" customFormat="1" x14ac:dyDescent="0.3">
      <c r="A141" s="20"/>
      <c r="B141" s="16" t="str">
        <f>BC129</f>
        <v>VK</v>
      </c>
      <c r="C141" s="16">
        <f>BF158</f>
        <v>0</v>
      </c>
      <c r="D141" s="17"/>
      <c r="E141" s="20" t="s">
        <v>163</v>
      </c>
      <c r="F141" s="17"/>
      <c r="G141" s="17">
        <v>250</v>
      </c>
      <c r="H141" s="16">
        <f t="shared" si="104"/>
        <v>0</v>
      </c>
      <c r="I141" s="19"/>
      <c r="J141" s="16" t="s">
        <v>603</v>
      </c>
      <c r="K141" s="16"/>
      <c r="L141" s="19">
        <v>250</v>
      </c>
      <c r="M141" s="16">
        <f t="shared" si="105"/>
        <v>0</v>
      </c>
      <c r="N141" s="17"/>
      <c r="O141" s="20" t="s">
        <v>378</v>
      </c>
      <c r="P141" s="21"/>
      <c r="Q141" s="19">
        <v>250</v>
      </c>
      <c r="R141" s="16">
        <f t="shared" si="106"/>
        <v>0</v>
      </c>
      <c r="S141" s="20"/>
      <c r="T141" s="20" t="s">
        <v>57</v>
      </c>
      <c r="U141" s="20"/>
      <c r="V141" s="20">
        <v>4000</v>
      </c>
      <c r="W141" s="16">
        <f t="shared" si="107"/>
        <v>0</v>
      </c>
      <c r="X141" s="16"/>
      <c r="Y141" s="16"/>
      <c r="Z141" s="16"/>
      <c r="AA141" s="16"/>
      <c r="AB141" s="16">
        <f t="shared" si="108"/>
        <v>0</v>
      </c>
      <c r="AC141" s="20"/>
      <c r="AD141" s="20" t="s">
        <v>166</v>
      </c>
      <c r="AE141" s="20"/>
      <c r="AF141" s="16">
        <v>28000</v>
      </c>
      <c r="AG141" s="16">
        <f t="shared" si="109"/>
        <v>0</v>
      </c>
      <c r="AH141" s="16"/>
      <c r="AI141" s="16" t="s">
        <v>167</v>
      </c>
      <c r="AJ141" s="22"/>
      <c r="AK141" s="19">
        <v>250</v>
      </c>
      <c r="AL141" s="16">
        <f t="shared" si="110"/>
        <v>0</v>
      </c>
      <c r="AM141" s="16"/>
      <c r="AN141" s="16" t="s">
        <v>168</v>
      </c>
      <c r="AO141" s="16"/>
      <c r="AP141" s="16">
        <v>15000</v>
      </c>
      <c r="AQ141" s="16">
        <f t="shared" si="111"/>
        <v>0</v>
      </c>
      <c r="AR141" s="16"/>
      <c r="AS141" s="16" t="s">
        <v>591</v>
      </c>
      <c r="AT141" s="16"/>
      <c r="AU141" s="16">
        <v>20000</v>
      </c>
      <c r="AV141" s="16">
        <f t="shared" si="112"/>
        <v>0</v>
      </c>
      <c r="AW141" s="16"/>
      <c r="AX141" s="16" t="s">
        <v>170</v>
      </c>
      <c r="AY141" s="16"/>
      <c r="AZ141" s="16">
        <v>35000</v>
      </c>
      <c r="BA141" s="16">
        <f t="shared" si="113"/>
        <v>0</v>
      </c>
      <c r="BB141" s="20"/>
      <c r="BC141" s="20" t="s">
        <v>57</v>
      </c>
      <c r="BD141" s="17"/>
      <c r="BE141" s="17">
        <v>4000</v>
      </c>
      <c r="BF141" s="16">
        <f t="shared" si="114"/>
        <v>0</v>
      </c>
      <c r="BG141" s="20"/>
      <c r="BH141" s="20" t="s">
        <v>53</v>
      </c>
      <c r="BI141" s="20"/>
      <c r="BJ141" s="20">
        <v>1000</v>
      </c>
      <c r="BK141" s="16">
        <f t="shared" si="115"/>
        <v>0</v>
      </c>
      <c r="BL141" s="16"/>
      <c r="BM141" s="16" t="s">
        <v>57</v>
      </c>
      <c r="BN141" s="16"/>
      <c r="BO141" s="16">
        <v>4000</v>
      </c>
      <c r="BP141" s="16">
        <f t="shared" si="116"/>
        <v>0</v>
      </c>
      <c r="BQ141" s="16"/>
      <c r="BR141" s="16" t="s">
        <v>171</v>
      </c>
      <c r="BS141" s="16"/>
      <c r="BT141" s="16">
        <v>15000</v>
      </c>
      <c r="BU141" s="16">
        <f t="shared" si="117"/>
        <v>0</v>
      </c>
      <c r="BV141" s="16"/>
      <c r="BW141" s="16"/>
      <c r="BX141" s="16"/>
      <c r="BY141" s="16"/>
      <c r="BZ141" s="20">
        <f t="shared" si="118"/>
        <v>0</v>
      </c>
      <c r="CA141" s="16"/>
      <c r="CB141" s="16"/>
      <c r="CC141" s="16"/>
      <c r="CD141" s="16"/>
      <c r="CE141" s="16">
        <f t="shared" si="119"/>
        <v>0</v>
      </c>
      <c r="CF141" s="16"/>
      <c r="CG141" s="16" t="s">
        <v>57</v>
      </c>
      <c r="CH141" s="16"/>
      <c r="CI141" s="23">
        <v>4000</v>
      </c>
      <c r="CJ141" s="23">
        <f t="shared" si="120"/>
        <v>0</v>
      </c>
      <c r="CK141" s="20"/>
      <c r="CL141" s="20"/>
      <c r="CM141" s="20"/>
      <c r="CN141" s="20"/>
      <c r="CO141" s="23">
        <f t="shared" si="121"/>
        <v>0</v>
      </c>
      <c r="CP141" s="16"/>
      <c r="CQ141" s="16" t="s">
        <v>604</v>
      </c>
      <c r="CR141" s="16"/>
      <c r="CS141" s="16">
        <v>5000</v>
      </c>
      <c r="CT141" s="23">
        <f t="shared" si="122"/>
        <v>0</v>
      </c>
      <c r="CU141" s="20"/>
      <c r="CV141" s="20" t="s">
        <v>605</v>
      </c>
      <c r="CW141" s="20"/>
      <c r="CX141" s="20">
        <v>250</v>
      </c>
      <c r="CY141" s="23">
        <f t="shared" si="123"/>
        <v>0</v>
      </c>
      <c r="CZ141" s="20"/>
      <c r="DA141" s="20" t="s">
        <v>356</v>
      </c>
      <c r="DB141" s="20"/>
      <c r="DC141" s="20">
        <v>250</v>
      </c>
      <c r="DD141" s="23">
        <f t="shared" si="124"/>
        <v>0</v>
      </c>
      <c r="DE141" s="16"/>
      <c r="DF141" s="16" t="s">
        <v>173</v>
      </c>
      <c r="DG141" s="16"/>
      <c r="DH141" s="16">
        <v>15000</v>
      </c>
      <c r="DI141" s="16">
        <f t="shared" si="125"/>
        <v>0</v>
      </c>
      <c r="DJ141" s="20"/>
      <c r="DK141" s="20" t="s">
        <v>68</v>
      </c>
      <c r="DL141" s="20"/>
      <c r="DM141" s="20">
        <v>9000</v>
      </c>
      <c r="DN141" s="16">
        <f t="shared" si="126"/>
        <v>0</v>
      </c>
      <c r="DO141" s="20"/>
      <c r="DP141" s="20" t="s">
        <v>215</v>
      </c>
      <c r="DQ141" s="20"/>
      <c r="DR141" s="20">
        <v>7000</v>
      </c>
      <c r="DS141" s="16">
        <f t="shared" si="127"/>
        <v>0</v>
      </c>
      <c r="DT141" s="20"/>
      <c r="DU141" s="20" t="s">
        <v>83</v>
      </c>
      <c r="DV141" s="20"/>
      <c r="DW141" s="20">
        <v>3300</v>
      </c>
      <c r="DX141" s="24">
        <f t="shared" si="128"/>
        <v>0</v>
      </c>
    </row>
    <row r="142" spans="1:128" s="2" customFormat="1" x14ac:dyDescent="0.3">
      <c r="A142" s="20"/>
      <c r="B142" s="16" t="str">
        <f>BH129</f>
        <v>MULTAZAM</v>
      </c>
      <c r="C142" s="16">
        <f>BK158</f>
        <v>0</v>
      </c>
      <c r="D142" s="17"/>
      <c r="E142" s="20" t="s">
        <v>174</v>
      </c>
      <c r="F142" s="17"/>
      <c r="G142" s="17">
        <v>20000</v>
      </c>
      <c r="H142" s="16">
        <f t="shared" si="104"/>
        <v>0</v>
      </c>
      <c r="I142" s="19"/>
      <c r="J142" s="16" t="s">
        <v>147</v>
      </c>
      <c r="K142" s="16"/>
      <c r="L142" s="19">
        <v>350</v>
      </c>
      <c r="M142" s="16">
        <f t="shared" si="105"/>
        <v>0</v>
      </c>
      <c r="N142" s="17"/>
      <c r="O142" s="20" t="s">
        <v>606</v>
      </c>
      <c r="P142" s="21"/>
      <c r="Q142" s="19">
        <v>250</v>
      </c>
      <c r="R142" s="16">
        <f t="shared" si="106"/>
        <v>0</v>
      </c>
      <c r="S142" s="20"/>
      <c r="T142" s="20" t="s">
        <v>90</v>
      </c>
      <c r="U142" s="20"/>
      <c r="V142" s="20">
        <v>7000</v>
      </c>
      <c r="W142" s="16">
        <f t="shared" si="107"/>
        <v>0</v>
      </c>
      <c r="X142" s="16"/>
      <c r="Y142" s="16"/>
      <c r="Z142" s="16"/>
      <c r="AA142" s="16"/>
      <c r="AB142" s="16">
        <f t="shared" si="108"/>
        <v>0</v>
      </c>
      <c r="AC142" s="20"/>
      <c r="AD142" s="20" t="s">
        <v>177</v>
      </c>
      <c r="AE142" s="20"/>
      <c r="AF142" s="16">
        <v>39000</v>
      </c>
      <c r="AG142" s="16">
        <f t="shared" si="109"/>
        <v>0</v>
      </c>
      <c r="AH142" s="16"/>
      <c r="AI142" s="16" t="s">
        <v>147</v>
      </c>
      <c r="AJ142" s="22"/>
      <c r="AK142" s="19">
        <v>250</v>
      </c>
      <c r="AL142" s="16">
        <f t="shared" si="110"/>
        <v>0</v>
      </c>
      <c r="AM142" s="16"/>
      <c r="AN142" s="16" t="s">
        <v>62</v>
      </c>
      <c r="AO142" s="16"/>
      <c r="AP142" s="16">
        <v>7000</v>
      </c>
      <c r="AQ142" s="16">
        <f t="shared" si="111"/>
        <v>0</v>
      </c>
      <c r="AR142" s="16"/>
      <c r="AS142" s="16" t="s">
        <v>576</v>
      </c>
      <c r="AT142" s="16"/>
      <c r="AU142" s="16">
        <v>15000</v>
      </c>
      <c r="AV142" s="16">
        <f t="shared" si="112"/>
        <v>0</v>
      </c>
      <c r="AW142" s="16"/>
      <c r="AX142" s="16" t="s">
        <v>180</v>
      </c>
      <c r="AY142" s="16"/>
      <c r="AZ142" s="16">
        <v>250</v>
      </c>
      <c r="BA142" s="16">
        <f t="shared" si="113"/>
        <v>0</v>
      </c>
      <c r="BB142" s="20"/>
      <c r="BC142" s="20" t="s">
        <v>517</v>
      </c>
      <c r="BD142" s="17"/>
      <c r="BE142" s="17">
        <v>350</v>
      </c>
      <c r="BF142" s="16">
        <f t="shared" si="114"/>
        <v>0</v>
      </c>
      <c r="BG142" s="20"/>
      <c r="BH142" s="20" t="s">
        <v>401</v>
      </c>
      <c r="BI142" s="20"/>
      <c r="BJ142" s="20">
        <v>250</v>
      </c>
      <c r="BK142" s="16">
        <f t="shared" si="115"/>
        <v>0</v>
      </c>
      <c r="BL142" s="16"/>
      <c r="BM142" s="16" t="s">
        <v>90</v>
      </c>
      <c r="BN142" s="16"/>
      <c r="BO142" s="16">
        <v>7000</v>
      </c>
      <c r="BP142" s="16">
        <f t="shared" si="116"/>
        <v>0</v>
      </c>
      <c r="BQ142" s="16"/>
      <c r="BR142" s="16"/>
      <c r="BS142" s="16"/>
      <c r="BT142" s="16"/>
      <c r="BU142" s="16">
        <f t="shared" si="117"/>
        <v>0</v>
      </c>
      <c r="BV142" s="16"/>
      <c r="BW142" s="16"/>
      <c r="BX142" s="16"/>
      <c r="BY142" s="16"/>
      <c r="BZ142" s="20">
        <f t="shared" si="118"/>
        <v>0</v>
      </c>
      <c r="CA142" s="16"/>
      <c r="CB142" s="16"/>
      <c r="CC142" s="16"/>
      <c r="CD142" s="16"/>
      <c r="CE142" s="16">
        <f t="shared" si="119"/>
        <v>0</v>
      </c>
      <c r="CF142" s="16"/>
      <c r="CG142" s="16" t="s">
        <v>90</v>
      </c>
      <c r="CH142" s="16"/>
      <c r="CI142" s="23">
        <v>7000</v>
      </c>
      <c r="CJ142" s="23">
        <f t="shared" si="120"/>
        <v>0</v>
      </c>
      <c r="CK142" s="20"/>
      <c r="CL142" s="20"/>
      <c r="CM142" s="20"/>
      <c r="CN142" s="20"/>
      <c r="CO142" s="23">
        <f t="shared" si="121"/>
        <v>0</v>
      </c>
      <c r="CP142" s="16"/>
      <c r="CQ142" s="16" t="s">
        <v>135</v>
      </c>
      <c r="CR142" s="16"/>
      <c r="CS142" s="16">
        <v>6500</v>
      </c>
      <c r="CT142" s="23">
        <f t="shared" si="122"/>
        <v>0</v>
      </c>
      <c r="CU142" s="20"/>
      <c r="CV142" s="20" t="s">
        <v>83</v>
      </c>
      <c r="CW142" s="20"/>
      <c r="CX142" s="20">
        <v>450</v>
      </c>
      <c r="CY142" s="23">
        <f t="shared" si="123"/>
        <v>0</v>
      </c>
      <c r="CZ142" s="20"/>
      <c r="DA142" s="20" t="s">
        <v>607</v>
      </c>
      <c r="DB142" s="20"/>
      <c r="DC142" s="20">
        <v>350</v>
      </c>
      <c r="DD142" s="23">
        <f t="shared" si="124"/>
        <v>0</v>
      </c>
      <c r="DE142" s="16"/>
      <c r="DF142" s="16" t="s">
        <v>185</v>
      </c>
      <c r="DG142" s="16"/>
      <c r="DH142" s="16">
        <v>15000</v>
      </c>
      <c r="DI142" s="16">
        <f t="shared" si="125"/>
        <v>0</v>
      </c>
      <c r="DJ142" s="20"/>
      <c r="DK142" s="20" t="s">
        <v>57</v>
      </c>
      <c r="DL142" s="20"/>
      <c r="DM142" s="20">
        <v>4000</v>
      </c>
      <c r="DN142" s="16">
        <f t="shared" si="126"/>
        <v>0</v>
      </c>
      <c r="DO142" s="20"/>
      <c r="DP142" s="20" t="s">
        <v>608</v>
      </c>
      <c r="DQ142" s="20"/>
      <c r="DR142" s="20"/>
      <c r="DS142" s="16">
        <f t="shared" si="127"/>
        <v>0</v>
      </c>
      <c r="DT142" s="20"/>
      <c r="DU142" s="20" t="s">
        <v>88</v>
      </c>
      <c r="DV142" s="20"/>
      <c r="DW142" s="20">
        <v>2500</v>
      </c>
      <c r="DX142" s="24">
        <f t="shared" si="128"/>
        <v>0</v>
      </c>
    </row>
    <row r="143" spans="1:128" s="2" customFormat="1" x14ac:dyDescent="0.3">
      <c r="A143" s="20"/>
      <c r="B143" s="16" t="str">
        <f>BM129</f>
        <v>MARWA</v>
      </c>
      <c r="C143" s="16">
        <f>BP158</f>
        <v>0</v>
      </c>
      <c r="D143" s="17"/>
      <c r="E143" s="20" t="s">
        <v>609</v>
      </c>
      <c r="F143" s="17"/>
      <c r="G143" s="17">
        <v>15000</v>
      </c>
      <c r="H143" s="16">
        <f t="shared" si="104"/>
        <v>0</v>
      </c>
      <c r="I143" s="19"/>
      <c r="J143" s="16" t="s">
        <v>610</v>
      </c>
      <c r="K143" s="16"/>
      <c r="L143" s="19">
        <v>250</v>
      </c>
      <c r="M143" s="16">
        <f t="shared" si="105"/>
        <v>0</v>
      </c>
      <c r="N143" s="17"/>
      <c r="O143" s="20" t="s">
        <v>62</v>
      </c>
      <c r="P143" s="21"/>
      <c r="Q143" s="19">
        <v>7000</v>
      </c>
      <c r="R143" s="16">
        <f t="shared" si="106"/>
        <v>0</v>
      </c>
      <c r="S143" s="20"/>
      <c r="T143" s="20" t="s">
        <v>131</v>
      </c>
      <c r="U143" s="20"/>
      <c r="V143" s="20">
        <v>250</v>
      </c>
      <c r="W143" s="16">
        <f t="shared" si="107"/>
        <v>0</v>
      </c>
      <c r="X143" s="16"/>
      <c r="Y143" s="16"/>
      <c r="Z143" s="16"/>
      <c r="AA143" s="16"/>
      <c r="AB143" s="16">
        <f t="shared" si="108"/>
        <v>0</v>
      </c>
      <c r="AC143" s="20"/>
      <c r="AD143" s="20" t="s">
        <v>47</v>
      </c>
      <c r="AE143" s="20"/>
      <c r="AF143" s="16">
        <v>4400</v>
      </c>
      <c r="AG143" s="16">
        <f t="shared" si="109"/>
        <v>0</v>
      </c>
      <c r="AH143" s="16"/>
      <c r="AI143" s="16" t="s">
        <v>310</v>
      </c>
      <c r="AJ143" s="22"/>
      <c r="AK143" s="19">
        <v>20000</v>
      </c>
      <c r="AL143" s="16">
        <f t="shared" si="110"/>
        <v>0</v>
      </c>
      <c r="AM143" s="16"/>
      <c r="AN143" s="16"/>
      <c r="AO143" s="16"/>
      <c r="AP143" s="16"/>
      <c r="AQ143" s="16">
        <f t="shared" si="111"/>
        <v>0</v>
      </c>
      <c r="AR143" s="16"/>
      <c r="AS143" s="16" t="s">
        <v>198</v>
      </c>
      <c r="AT143" s="16"/>
      <c r="AU143" s="16">
        <v>22000</v>
      </c>
      <c r="AV143" s="16">
        <f t="shared" si="112"/>
        <v>0</v>
      </c>
      <c r="AW143" s="16"/>
      <c r="AX143" s="16" t="s">
        <v>191</v>
      </c>
      <c r="AY143" s="16"/>
      <c r="AZ143" s="16">
        <v>250</v>
      </c>
      <c r="BA143" s="16">
        <f t="shared" si="113"/>
        <v>0</v>
      </c>
      <c r="BB143" s="20"/>
      <c r="BC143" s="20" t="s">
        <v>123</v>
      </c>
      <c r="BD143" s="17"/>
      <c r="BE143" s="17">
        <v>350</v>
      </c>
      <c r="BF143" s="16">
        <f t="shared" si="114"/>
        <v>0</v>
      </c>
      <c r="BG143" s="20"/>
      <c r="BH143" s="20" t="s">
        <v>90</v>
      </c>
      <c r="BI143" s="20"/>
      <c r="BJ143" s="20">
        <v>7000</v>
      </c>
      <c r="BK143" s="16">
        <f t="shared" si="115"/>
        <v>0</v>
      </c>
      <c r="BL143" s="16"/>
      <c r="BM143" s="16" t="s">
        <v>611</v>
      </c>
      <c r="BN143" s="16"/>
      <c r="BO143" s="16">
        <v>250</v>
      </c>
      <c r="BP143" s="16">
        <f t="shared" si="116"/>
        <v>0</v>
      </c>
      <c r="BQ143" s="16"/>
      <c r="BR143" s="16"/>
      <c r="BS143" s="16"/>
      <c r="BT143" s="16"/>
      <c r="BU143" s="16">
        <f t="shared" si="117"/>
        <v>0</v>
      </c>
      <c r="BV143" s="16"/>
      <c r="BW143" s="16"/>
      <c r="BX143" s="16"/>
      <c r="BY143" s="16"/>
      <c r="BZ143" s="20">
        <f t="shared" si="118"/>
        <v>0</v>
      </c>
      <c r="CA143" s="16"/>
      <c r="CB143" s="16"/>
      <c r="CC143" s="16"/>
      <c r="CD143" s="16"/>
      <c r="CE143" s="16">
        <f t="shared" si="119"/>
        <v>0</v>
      </c>
      <c r="CF143" s="16"/>
      <c r="CG143" s="16" t="s">
        <v>389</v>
      </c>
      <c r="CH143" s="16"/>
      <c r="CI143" s="16">
        <v>1500</v>
      </c>
      <c r="CJ143" s="23">
        <f t="shared" si="120"/>
        <v>0</v>
      </c>
      <c r="CK143" s="20"/>
      <c r="CL143" s="20"/>
      <c r="CM143" s="20"/>
      <c r="CN143" s="20"/>
      <c r="CO143" s="23">
        <f t="shared" si="121"/>
        <v>0</v>
      </c>
      <c r="CP143" s="16"/>
      <c r="CQ143" s="16" t="s">
        <v>195</v>
      </c>
      <c r="CR143" s="16"/>
      <c r="CS143" s="16">
        <v>2500</v>
      </c>
      <c r="CT143" s="23">
        <f t="shared" si="122"/>
        <v>0</v>
      </c>
      <c r="CU143" s="20"/>
      <c r="CV143" s="20" t="s">
        <v>88</v>
      </c>
      <c r="CW143" s="20"/>
      <c r="CX143" s="20">
        <v>350</v>
      </c>
      <c r="CY143" s="23">
        <f t="shared" si="123"/>
        <v>0</v>
      </c>
      <c r="CZ143" s="20"/>
      <c r="DA143" s="20" t="s">
        <v>612</v>
      </c>
      <c r="DB143" s="20"/>
      <c r="DC143" s="20">
        <v>350</v>
      </c>
      <c r="DD143" s="23">
        <f t="shared" si="124"/>
        <v>0</v>
      </c>
      <c r="DE143" s="16"/>
      <c r="DF143" s="16" t="s">
        <v>90</v>
      </c>
      <c r="DG143" s="16"/>
      <c r="DH143" s="16">
        <v>7000</v>
      </c>
      <c r="DI143" s="16">
        <f t="shared" si="125"/>
        <v>0</v>
      </c>
      <c r="DJ143" s="20"/>
      <c r="DK143" s="20" t="s">
        <v>87</v>
      </c>
      <c r="DL143" s="20"/>
      <c r="DM143" s="20">
        <v>1550</v>
      </c>
      <c r="DN143" s="16">
        <f t="shared" si="126"/>
        <v>0</v>
      </c>
      <c r="DO143" s="20"/>
      <c r="DP143" s="20" t="s">
        <v>613</v>
      </c>
      <c r="DQ143" s="20"/>
      <c r="DR143" s="20"/>
      <c r="DS143" s="16">
        <f t="shared" si="127"/>
        <v>0</v>
      </c>
      <c r="DT143" s="20"/>
      <c r="DU143" s="20" t="s">
        <v>69</v>
      </c>
      <c r="DV143" s="20"/>
      <c r="DW143" s="20">
        <v>1000</v>
      </c>
      <c r="DX143" s="24">
        <f t="shared" si="128"/>
        <v>0</v>
      </c>
    </row>
    <row r="144" spans="1:128" s="2" customFormat="1" x14ac:dyDescent="0.3">
      <c r="A144" s="20"/>
      <c r="B144" s="16" t="str">
        <f>BR129</f>
        <v xml:space="preserve">HK </v>
      </c>
      <c r="C144" s="16">
        <f>BU158</f>
        <v>0</v>
      </c>
      <c r="D144" s="17"/>
      <c r="E144" s="20" t="s">
        <v>614</v>
      </c>
      <c r="F144" s="17"/>
      <c r="G144" s="17">
        <v>15000</v>
      </c>
      <c r="H144" s="16">
        <f t="shared" si="104"/>
        <v>0</v>
      </c>
      <c r="I144" s="19"/>
      <c r="J144" s="16" t="s">
        <v>272</v>
      </c>
      <c r="K144" s="16"/>
      <c r="L144" s="19">
        <v>350</v>
      </c>
      <c r="M144" s="16">
        <f t="shared" si="105"/>
        <v>0</v>
      </c>
      <c r="N144" s="17"/>
      <c r="O144" s="20" t="s">
        <v>57</v>
      </c>
      <c r="P144" s="21"/>
      <c r="Q144" s="19">
        <v>4000</v>
      </c>
      <c r="R144" s="16">
        <f t="shared" si="106"/>
        <v>0</v>
      </c>
      <c r="S144" s="20"/>
      <c r="T144" s="16" t="s">
        <v>189</v>
      </c>
      <c r="U144" s="22"/>
      <c r="V144" s="19">
        <v>17000</v>
      </c>
      <c r="W144" s="16">
        <f t="shared" si="107"/>
        <v>0</v>
      </c>
      <c r="X144" s="16"/>
      <c r="Y144" s="16"/>
      <c r="Z144" s="16"/>
      <c r="AA144" s="16"/>
      <c r="AB144" s="16">
        <f t="shared" si="108"/>
        <v>0</v>
      </c>
      <c r="AC144" s="20"/>
      <c r="AD144" s="20" t="s">
        <v>200</v>
      </c>
      <c r="AE144" s="20"/>
      <c r="AF144" s="16">
        <v>2100</v>
      </c>
      <c r="AG144" s="16">
        <f t="shared" si="109"/>
        <v>0</v>
      </c>
      <c r="AH144" s="16"/>
      <c r="AI144" s="20" t="s">
        <v>203</v>
      </c>
      <c r="AJ144" s="20"/>
      <c r="AK144" s="20">
        <v>10000</v>
      </c>
      <c r="AL144" s="16">
        <f t="shared" si="110"/>
        <v>0</v>
      </c>
      <c r="AM144" s="16"/>
      <c r="AN144" s="16"/>
      <c r="AO144" s="16"/>
      <c r="AP144" s="16"/>
      <c r="AQ144" s="16">
        <f t="shared" si="111"/>
        <v>0</v>
      </c>
      <c r="AR144" s="16"/>
      <c r="AS144" s="16" t="s">
        <v>197</v>
      </c>
      <c r="AT144" s="16"/>
      <c r="AU144" s="16">
        <v>15000</v>
      </c>
      <c r="AV144" s="16">
        <f t="shared" si="112"/>
        <v>0</v>
      </c>
      <c r="AW144" s="16"/>
      <c r="AX144" s="16" t="s">
        <v>615</v>
      </c>
      <c r="AY144" s="16"/>
      <c r="AZ144" s="16">
        <v>3900</v>
      </c>
      <c r="BA144" s="16">
        <f t="shared" si="113"/>
        <v>0</v>
      </c>
      <c r="BB144" s="20"/>
      <c r="BC144" s="20" t="s">
        <v>62</v>
      </c>
      <c r="BD144" s="17"/>
      <c r="BE144" s="17">
        <v>7000</v>
      </c>
      <c r="BF144" s="16">
        <f t="shared" si="114"/>
        <v>0</v>
      </c>
      <c r="BG144" s="20"/>
      <c r="BH144" s="20" t="s">
        <v>522</v>
      </c>
      <c r="BI144" s="20"/>
      <c r="BJ144" s="20">
        <v>250</v>
      </c>
      <c r="BK144" s="16">
        <f t="shared" si="115"/>
        <v>0</v>
      </c>
      <c r="BL144" s="16"/>
      <c r="BM144" s="16" t="s">
        <v>221</v>
      </c>
      <c r="BN144" s="16"/>
      <c r="BO144" s="16">
        <v>250</v>
      </c>
      <c r="BP144" s="16">
        <f t="shared" si="116"/>
        <v>0</v>
      </c>
      <c r="BQ144" s="16"/>
      <c r="BR144" s="16"/>
      <c r="BS144" s="16"/>
      <c r="BT144" s="16"/>
      <c r="BU144" s="16">
        <f t="shared" si="117"/>
        <v>0</v>
      </c>
      <c r="BV144" s="16"/>
      <c r="BW144" s="16"/>
      <c r="BX144" s="16"/>
      <c r="BY144" s="16"/>
      <c r="BZ144" s="20">
        <f t="shared" si="118"/>
        <v>0</v>
      </c>
      <c r="CA144" s="16"/>
      <c r="CB144" s="16"/>
      <c r="CC144" s="16"/>
      <c r="CD144" s="16"/>
      <c r="CE144" s="16">
        <f t="shared" si="119"/>
        <v>0</v>
      </c>
      <c r="CF144" s="16"/>
      <c r="CG144" s="20" t="s">
        <v>216</v>
      </c>
      <c r="CH144" s="17"/>
      <c r="CI144" s="17">
        <v>85000</v>
      </c>
      <c r="CJ144" s="23">
        <f t="shared" si="120"/>
        <v>0</v>
      </c>
      <c r="CK144" s="20"/>
      <c r="CL144" s="20"/>
      <c r="CM144" s="20"/>
      <c r="CN144" s="20"/>
      <c r="CO144" s="23">
        <f t="shared" si="121"/>
        <v>0</v>
      </c>
      <c r="CP144" s="16"/>
      <c r="CQ144" s="16" t="s">
        <v>164</v>
      </c>
      <c r="CR144" s="16"/>
      <c r="CS144" s="16">
        <v>15000</v>
      </c>
      <c r="CT144" s="23">
        <f t="shared" si="122"/>
        <v>0</v>
      </c>
      <c r="CU144" s="20"/>
      <c r="CV144" s="20" t="s">
        <v>498</v>
      </c>
      <c r="CW144" s="20"/>
      <c r="CX144" s="20">
        <v>2000</v>
      </c>
      <c r="CY144" s="23">
        <f t="shared" si="123"/>
        <v>0</v>
      </c>
      <c r="CZ144" s="20"/>
      <c r="DA144" s="20" t="s">
        <v>83</v>
      </c>
      <c r="DB144" s="20"/>
      <c r="DC144" s="20">
        <v>3300</v>
      </c>
      <c r="DD144" s="23">
        <f t="shared" si="124"/>
        <v>0</v>
      </c>
      <c r="DE144" s="16"/>
      <c r="DF144" s="16" t="s">
        <v>206</v>
      </c>
      <c r="DG144" s="16"/>
      <c r="DH144" s="16">
        <v>2000</v>
      </c>
      <c r="DI144" s="16">
        <f t="shared" si="125"/>
        <v>0</v>
      </c>
      <c r="DJ144" s="20"/>
      <c r="DK144" s="20" t="s">
        <v>152</v>
      </c>
      <c r="DL144" s="20"/>
      <c r="DM144" s="20">
        <v>3500</v>
      </c>
      <c r="DN144" s="16">
        <f t="shared" si="126"/>
        <v>0</v>
      </c>
      <c r="DO144" s="20"/>
      <c r="DP144" s="20" t="s">
        <v>87</v>
      </c>
      <c r="DQ144" s="20"/>
      <c r="DR144" s="20">
        <v>1550</v>
      </c>
      <c r="DS144" s="16">
        <f t="shared" si="127"/>
        <v>0</v>
      </c>
      <c r="DT144" s="20"/>
      <c r="DU144" s="20" t="s">
        <v>207</v>
      </c>
      <c r="DV144" s="20"/>
      <c r="DW144" s="20">
        <v>1000</v>
      </c>
      <c r="DX144" s="24">
        <f t="shared" si="128"/>
        <v>0</v>
      </c>
    </row>
    <row r="145" spans="1:128" s="2" customFormat="1" x14ac:dyDescent="0.3">
      <c r="A145" s="20"/>
      <c r="B145" s="16" t="str">
        <f>BW129</f>
        <v>LAUNDRY</v>
      </c>
      <c r="C145" s="16">
        <f>BZ158</f>
        <v>0</v>
      </c>
      <c r="D145" s="17"/>
      <c r="E145" s="20" t="s">
        <v>616</v>
      </c>
      <c r="F145" s="17"/>
      <c r="G145" s="17">
        <v>11000</v>
      </c>
      <c r="H145" s="16">
        <f t="shared" si="104"/>
        <v>0</v>
      </c>
      <c r="I145" s="19"/>
      <c r="J145" s="16" t="s">
        <v>505</v>
      </c>
      <c r="K145" s="16"/>
      <c r="L145" s="19">
        <v>250</v>
      </c>
      <c r="M145" s="16">
        <f t="shared" si="105"/>
        <v>0</v>
      </c>
      <c r="N145" s="17"/>
      <c r="O145" s="20" t="s">
        <v>234</v>
      </c>
      <c r="P145" s="21"/>
      <c r="Q145" s="19">
        <v>250</v>
      </c>
      <c r="R145" s="16">
        <f t="shared" si="106"/>
        <v>0</v>
      </c>
      <c r="S145" s="20"/>
      <c r="T145" s="20" t="s">
        <v>221</v>
      </c>
      <c r="U145" s="20"/>
      <c r="V145" s="20">
        <v>250</v>
      </c>
      <c r="W145" s="16">
        <f t="shared" si="107"/>
        <v>0</v>
      </c>
      <c r="X145" s="16"/>
      <c r="Y145" s="16"/>
      <c r="Z145" s="16"/>
      <c r="AA145" s="16"/>
      <c r="AB145" s="16">
        <f t="shared" si="108"/>
        <v>0</v>
      </c>
      <c r="AC145" s="20"/>
      <c r="AD145" s="20" t="s">
        <v>210</v>
      </c>
      <c r="AE145" s="20"/>
      <c r="AF145" s="16">
        <v>2600</v>
      </c>
      <c r="AG145" s="16">
        <f t="shared" si="109"/>
        <v>0</v>
      </c>
      <c r="AH145" s="16"/>
      <c r="AI145" s="16" t="s">
        <v>273</v>
      </c>
      <c r="AJ145" s="22"/>
      <c r="AK145" s="19">
        <v>3900</v>
      </c>
      <c r="AL145" s="16">
        <f t="shared" si="110"/>
        <v>0</v>
      </c>
      <c r="AM145" s="16"/>
      <c r="AN145" s="16"/>
      <c r="AO145" s="16"/>
      <c r="AP145" s="16"/>
      <c r="AQ145" s="16">
        <f t="shared" si="111"/>
        <v>0</v>
      </c>
      <c r="AR145" s="16"/>
      <c r="AS145" s="16" t="s">
        <v>190</v>
      </c>
      <c r="AT145" s="16"/>
      <c r="AU145" s="16">
        <v>3000</v>
      </c>
      <c r="AV145" s="16">
        <f t="shared" si="112"/>
        <v>0</v>
      </c>
      <c r="AW145" s="16"/>
      <c r="AX145" s="16"/>
      <c r="AY145" s="16"/>
      <c r="AZ145" s="16"/>
      <c r="BA145" s="16">
        <f t="shared" si="113"/>
        <v>0</v>
      </c>
      <c r="BB145" s="20"/>
      <c r="BC145" s="20" t="s">
        <v>202</v>
      </c>
      <c r="BD145" s="17"/>
      <c r="BE145" s="17">
        <v>15000</v>
      </c>
      <c r="BF145" s="16">
        <f t="shared" si="114"/>
        <v>0</v>
      </c>
      <c r="BG145" s="20"/>
      <c r="BH145" s="20" t="s">
        <v>384</v>
      </c>
      <c r="BI145" s="20"/>
      <c r="BJ145" s="20">
        <v>250</v>
      </c>
      <c r="BK145" s="16">
        <f t="shared" si="115"/>
        <v>0</v>
      </c>
      <c r="BL145" s="16"/>
      <c r="BM145" s="16" t="s">
        <v>51</v>
      </c>
      <c r="BN145" s="16"/>
      <c r="BO145" s="16">
        <v>100</v>
      </c>
      <c r="BP145" s="16">
        <f t="shared" si="116"/>
        <v>0</v>
      </c>
      <c r="BQ145" s="16"/>
      <c r="BR145" s="16"/>
      <c r="BS145" s="16"/>
      <c r="BT145" s="16"/>
      <c r="BU145" s="16">
        <f t="shared" si="117"/>
        <v>0</v>
      </c>
      <c r="BV145" s="16"/>
      <c r="BW145" s="16"/>
      <c r="BX145" s="16"/>
      <c r="BY145" s="16"/>
      <c r="BZ145" s="20">
        <f t="shared" si="118"/>
        <v>0</v>
      </c>
      <c r="CA145" s="16"/>
      <c r="CB145" s="16"/>
      <c r="CC145" s="16"/>
      <c r="CD145" s="16"/>
      <c r="CE145" s="16">
        <f t="shared" si="119"/>
        <v>0</v>
      </c>
      <c r="CF145" s="16"/>
      <c r="CG145" s="20" t="s">
        <v>617</v>
      </c>
      <c r="CH145" s="17"/>
      <c r="CI145" s="17">
        <v>85000</v>
      </c>
      <c r="CJ145" s="23">
        <f t="shared" si="120"/>
        <v>0</v>
      </c>
      <c r="CK145" s="20"/>
      <c r="CL145" s="20"/>
      <c r="CM145" s="20"/>
      <c r="CN145" s="20"/>
      <c r="CO145" s="23">
        <f t="shared" si="121"/>
        <v>0</v>
      </c>
      <c r="CP145" s="16"/>
      <c r="CQ145" s="16" t="s">
        <v>197</v>
      </c>
      <c r="CR145" s="16"/>
      <c r="CS145" s="16">
        <v>15000</v>
      </c>
      <c r="CT145" s="23">
        <f t="shared" si="122"/>
        <v>0</v>
      </c>
      <c r="CU145" s="20"/>
      <c r="CV145" s="20" t="s">
        <v>327</v>
      </c>
      <c r="CW145" s="20"/>
      <c r="CX145" s="20">
        <v>250</v>
      </c>
      <c r="CY145" s="23">
        <f t="shared" si="123"/>
        <v>0</v>
      </c>
      <c r="CZ145" s="20"/>
      <c r="DA145" s="20" t="s">
        <v>88</v>
      </c>
      <c r="DB145" s="20"/>
      <c r="DC145" s="20">
        <v>2500</v>
      </c>
      <c r="DD145" s="23">
        <f t="shared" si="124"/>
        <v>0</v>
      </c>
      <c r="DE145" s="16"/>
      <c r="DF145" s="16" t="s">
        <v>41</v>
      </c>
      <c r="DG145" s="16"/>
      <c r="DH145" s="16">
        <v>28000</v>
      </c>
      <c r="DI145" s="16">
        <f t="shared" si="125"/>
        <v>0</v>
      </c>
      <c r="DJ145" s="20"/>
      <c r="DK145" s="20" t="s">
        <v>158</v>
      </c>
      <c r="DL145" s="20"/>
      <c r="DM145" s="20">
        <v>10000</v>
      </c>
      <c r="DN145" s="16">
        <f t="shared" si="126"/>
        <v>0</v>
      </c>
      <c r="DO145" s="20"/>
      <c r="DP145" s="20" t="s">
        <v>215</v>
      </c>
      <c r="DQ145" s="20"/>
      <c r="DR145" s="20">
        <v>7000</v>
      </c>
      <c r="DS145" s="16">
        <f t="shared" si="127"/>
        <v>0</v>
      </c>
      <c r="DT145" s="20"/>
      <c r="DU145" s="20" t="s">
        <v>90</v>
      </c>
      <c r="DV145" s="20"/>
      <c r="DW145" s="20">
        <v>7000</v>
      </c>
      <c r="DX145" s="24">
        <f t="shared" si="128"/>
        <v>0</v>
      </c>
    </row>
    <row r="146" spans="1:128" s="2" customFormat="1" x14ac:dyDescent="0.3">
      <c r="A146" s="20"/>
      <c r="B146" s="16" t="str">
        <f>CB129</f>
        <v>LOGISTIK</v>
      </c>
      <c r="C146" s="16">
        <f>CE158</f>
        <v>0</v>
      </c>
      <c r="D146" s="17"/>
      <c r="E146" s="20" t="s">
        <v>216</v>
      </c>
      <c r="F146" s="17"/>
      <c r="G146" s="17">
        <v>85000</v>
      </c>
      <c r="H146" s="16">
        <f t="shared" si="104"/>
        <v>0</v>
      </c>
      <c r="I146" s="19"/>
      <c r="J146" s="16" t="s">
        <v>211</v>
      </c>
      <c r="K146" s="16"/>
      <c r="L146" s="19">
        <v>250</v>
      </c>
      <c r="M146" s="16">
        <f t="shared" si="105"/>
        <v>0</v>
      </c>
      <c r="N146" s="17"/>
      <c r="O146" s="20" t="s">
        <v>618</v>
      </c>
      <c r="P146" s="21"/>
      <c r="Q146" s="19">
        <v>250</v>
      </c>
      <c r="R146" s="16">
        <f t="shared" si="106"/>
        <v>0</v>
      </c>
      <c r="S146" s="20"/>
      <c r="T146" s="20" t="s">
        <v>610</v>
      </c>
      <c r="U146" s="20"/>
      <c r="V146" s="20">
        <v>250</v>
      </c>
      <c r="W146" s="16">
        <f t="shared" si="107"/>
        <v>0</v>
      </c>
      <c r="X146" s="16"/>
      <c r="Y146" s="16"/>
      <c r="Z146" s="16"/>
      <c r="AA146" s="16"/>
      <c r="AB146" s="16">
        <f t="shared" si="108"/>
        <v>0</v>
      </c>
      <c r="AC146" s="20"/>
      <c r="AD146" s="20" t="s">
        <v>219</v>
      </c>
      <c r="AE146" s="20"/>
      <c r="AF146" s="16">
        <v>4900</v>
      </c>
      <c r="AG146" s="16">
        <f t="shared" si="109"/>
        <v>0</v>
      </c>
      <c r="AH146" s="16"/>
      <c r="AI146" s="16" t="s">
        <v>619</v>
      </c>
      <c r="AJ146" s="22"/>
      <c r="AK146" s="19">
        <v>250</v>
      </c>
      <c r="AL146" s="16">
        <f t="shared" si="110"/>
        <v>0</v>
      </c>
      <c r="AM146" s="16"/>
      <c r="AN146" s="16"/>
      <c r="AO146" s="16"/>
      <c r="AP146" s="16"/>
      <c r="AQ146" s="16">
        <f t="shared" si="111"/>
        <v>0</v>
      </c>
      <c r="AR146" s="16"/>
      <c r="AS146" s="16" t="s">
        <v>220</v>
      </c>
      <c r="AT146" s="16"/>
      <c r="AU146" s="16">
        <v>5000</v>
      </c>
      <c r="AV146" s="16">
        <f t="shared" si="112"/>
        <v>0</v>
      </c>
      <c r="AW146" s="16"/>
      <c r="AX146" s="16"/>
      <c r="AY146" s="16"/>
      <c r="AZ146" s="16"/>
      <c r="BA146" s="16">
        <f t="shared" si="113"/>
        <v>0</v>
      </c>
      <c r="BB146" s="20"/>
      <c r="BC146" s="20" t="s">
        <v>620</v>
      </c>
      <c r="BD146" s="17"/>
      <c r="BE146" s="17">
        <v>350</v>
      </c>
      <c r="BF146" s="16">
        <f t="shared" si="114"/>
        <v>0</v>
      </c>
      <c r="BG146" s="20"/>
      <c r="BH146" s="20" t="s">
        <v>117</v>
      </c>
      <c r="BI146" s="20"/>
      <c r="BJ146" s="20">
        <v>250</v>
      </c>
      <c r="BK146" s="16">
        <f t="shared" si="115"/>
        <v>0</v>
      </c>
      <c r="BL146" s="16"/>
      <c r="BM146" s="16" t="s">
        <v>158</v>
      </c>
      <c r="BN146" s="16"/>
      <c r="BO146" s="16">
        <v>10000</v>
      </c>
      <c r="BP146" s="16">
        <f t="shared" si="116"/>
        <v>0</v>
      </c>
      <c r="BQ146" s="16"/>
      <c r="BR146" s="16"/>
      <c r="BS146" s="16"/>
      <c r="BT146" s="16"/>
      <c r="BU146" s="16">
        <f t="shared" si="117"/>
        <v>0</v>
      </c>
      <c r="BV146" s="16"/>
      <c r="BW146" s="16"/>
      <c r="BX146" s="16"/>
      <c r="BY146" s="16"/>
      <c r="BZ146" s="20">
        <f t="shared" si="118"/>
        <v>0</v>
      </c>
      <c r="CA146" s="16"/>
      <c r="CB146" s="16"/>
      <c r="CC146" s="16"/>
      <c r="CD146" s="16"/>
      <c r="CE146" s="16">
        <f t="shared" si="119"/>
        <v>0</v>
      </c>
      <c r="CF146" s="16"/>
      <c r="CG146" s="20" t="s">
        <v>91</v>
      </c>
      <c r="CH146" s="17"/>
      <c r="CI146" s="17">
        <v>85000</v>
      </c>
      <c r="CJ146" s="23">
        <f t="shared" si="120"/>
        <v>0</v>
      </c>
      <c r="CK146" s="20"/>
      <c r="CL146" s="20"/>
      <c r="CM146" s="20"/>
      <c r="CN146" s="20"/>
      <c r="CO146" s="23">
        <f t="shared" si="121"/>
        <v>0</v>
      </c>
      <c r="CP146" s="16"/>
      <c r="CQ146" s="16" t="s">
        <v>621</v>
      </c>
      <c r="CR146" s="16"/>
      <c r="CS146" s="16">
        <v>1500</v>
      </c>
      <c r="CT146" s="23">
        <f t="shared" si="122"/>
        <v>0</v>
      </c>
      <c r="CU146" s="20"/>
      <c r="CV146" s="20" t="s">
        <v>622</v>
      </c>
      <c r="CW146" s="20"/>
      <c r="CX146" s="20">
        <v>350</v>
      </c>
      <c r="CY146" s="23">
        <f t="shared" si="123"/>
        <v>0</v>
      </c>
      <c r="CZ146" s="20"/>
      <c r="DA146" s="20" t="s">
        <v>103</v>
      </c>
      <c r="DB146" s="20"/>
      <c r="DC146" s="20">
        <v>1000</v>
      </c>
      <c r="DD146" s="23">
        <f t="shared" si="124"/>
        <v>0</v>
      </c>
      <c r="DE146" s="16"/>
      <c r="DF146" s="20" t="s">
        <v>87</v>
      </c>
      <c r="DG146" s="20"/>
      <c r="DH146" s="20">
        <v>1550</v>
      </c>
      <c r="DI146" s="16">
        <f t="shared" si="125"/>
        <v>0</v>
      </c>
      <c r="DJ146" s="20"/>
      <c r="DK146" s="16" t="s">
        <v>90</v>
      </c>
      <c r="DL146" s="16"/>
      <c r="DM146" s="16">
        <v>7000</v>
      </c>
      <c r="DN146" s="16">
        <f t="shared" si="126"/>
        <v>0</v>
      </c>
      <c r="DO146" s="20"/>
      <c r="DP146" s="20" t="s">
        <v>383</v>
      </c>
      <c r="DQ146" s="20"/>
      <c r="DR146" s="20"/>
      <c r="DS146" s="16">
        <f t="shared" si="127"/>
        <v>0</v>
      </c>
      <c r="DT146" s="20"/>
      <c r="DU146" s="20" t="s">
        <v>203</v>
      </c>
      <c r="DV146" s="20"/>
      <c r="DW146" s="20">
        <v>10000</v>
      </c>
      <c r="DX146" s="24">
        <f t="shared" si="128"/>
        <v>0</v>
      </c>
    </row>
    <row r="147" spans="1:128" s="2" customFormat="1" x14ac:dyDescent="0.3">
      <c r="A147" s="20"/>
      <c r="B147" s="16" t="str">
        <f>CG129</f>
        <v>ASURANSI</v>
      </c>
      <c r="C147" s="16">
        <f>CJ158</f>
        <v>0</v>
      </c>
      <c r="D147" s="17"/>
      <c r="E147" s="20" t="s">
        <v>623</v>
      </c>
      <c r="F147" s="17"/>
      <c r="G147" s="17">
        <v>2500</v>
      </c>
      <c r="H147" s="16">
        <f t="shared" si="104"/>
        <v>0</v>
      </c>
      <c r="I147" s="19"/>
      <c r="J147" s="16" t="s">
        <v>624</v>
      </c>
      <c r="K147" s="16"/>
      <c r="L147" s="19">
        <v>20000</v>
      </c>
      <c r="M147" s="16">
        <f t="shared" si="105"/>
        <v>0</v>
      </c>
      <c r="N147" s="17"/>
      <c r="O147" s="20" t="s">
        <v>625</v>
      </c>
      <c r="P147" s="21"/>
      <c r="Q147" s="19">
        <v>5000</v>
      </c>
      <c r="R147" s="16">
        <f t="shared" si="106"/>
        <v>0</v>
      </c>
      <c r="S147" s="20"/>
      <c r="T147" s="20" t="s">
        <v>225</v>
      </c>
      <c r="U147" s="20"/>
      <c r="V147" s="16">
        <v>3900</v>
      </c>
      <c r="W147" s="16">
        <f t="shared" si="107"/>
        <v>0</v>
      </c>
      <c r="X147" s="16"/>
      <c r="Y147" s="16"/>
      <c r="Z147" s="16"/>
      <c r="AA147" s="16"/>
      <c r="AB147" s="16">
        <f t="shared" si="108"/>
        <v>0</v>
      </c>
      <c r="AC147" s="20"/>
      <c r="AD147" s="20" t="s">
        <v>229</v>
      </c>
      <c r="AE147" s="20"/>
      <c r="AF147" s="20">
        <v>12500</v>
      </c>
      <c r="AG147" s="16">
        <f t="shared" si="109"/>
        <v>0</v>
      </c>
      <c r="AH147" s="16"/>
      <c r="AI147" s="16" t="s">
        <v>197</v>
      </c>
      <c r="AJ147" s="22"/>
      <c r="AK147" s="19">
        <v>15000</v>
      </c>
      <c r="AL147" s="16">
        <f t="shared" si="110"/>
        <v>0</v>
      </c>
      <c r="AM147" s="16"/>
      <c r="AN147" s="16"/>
      <c r="AO147" s="16"/>
      <c r="AP147" s="16"/>
      <c r="AQ147" s="16">
        <f t="shared" si="111"/>
        <v>0</v>
      </c>
      <c r="AR147" s="16"/>
      <c r="AS147" s="16" t="s">
        <v>230</v>
      </c>
      <c r="AT147" s="16"/>
      <c r="AU147" s="16">
        <v>5000</v>
      </c>
      <c r="AV147" s="16">
        <f t="shared" si="112"/>
        <v>0</v>
      </c>
      <c r="AW147" s="16"/>
      <c r="AX147" s="16"/>
      <c r="AY147" s="16"/>
      <c r="AZ147" s="16"/>
      <c r="BA147" s="16">
        <f t="shared" si="113"/>
        <v>0</v>
      </c>
      <c r="BB147" s="20"/>
      <c r="BC147" s="20" t="s">
        <v>62</v>
      </c>
      <c r="BD147" s="17"/>
      <c r="BE147" s="17">
        <v>7000</v>
      </c>
      <c r="BF147" s="16">
        <f t="shared" si="114"/>
        <v>0</v>
      </c>
      <c r="BG147" s="20"/>
      <c r="BH147" s="20" t="s">
        <v>158</v>
      </c>
      <c r="BI147" s="20"/>
      <c r="BJ147" s="20">
        <v>10000</v>
      </c>
      <c r="BK147" s="16">
        <f t="shared" si="115"/>
        <v>0</v>
      </c>
      <c r="BL147" s="16"/>
      <c r="BM147" s="16" t="s">
        <v>131</v>
      </c>
      <c r="BN147" s="16"/>
      <c r="BO147" s="16">
        <v>250</v>
      </c>
      <c r="BP147" s="16">
        <f t="shared" si="116"/>
        <v>0</v>
      </c>
      <c r="BQ147" s="16"/>
      <c r="BR147" s="16"/>
      <c r="BS147" s="16"/>
      <c r="BT147" s="16"/>
      <c r="BU147" s="16">
        <f t="shared" si="117"/>
        <v>0</v>
      </c>
      <c r="BV147" s="16"/>
      <c r="BW147" s="16"/>
      <c r="BX147" s="16"/>
      <c r="BY147" s="16"/>
      <c r="BZ147" s="20">
        <f t="shared" si="118"/>
        <v>0</v>
      </c>
      <c r="CA147" s="16"/>
      <c r="CB147" s="16"/>
      <c r="CC147" s="16"/>
      <c r="CD147" s="16"/>
      <c r="CE147" s="16">
        <f t="shared" si="119"/>
        <v>0</v>
      </c>
      <c r="CF147" s="16"/>
      <c r="CG147" s="20" t="s">
        <v>626</v>
      </c>
      <c r="CH147" s="17"/>
      <c r="CI147" s="17">
        <v>85000</v>
      </c>
      <c r="CJ147" s="23">
        <f t="shared" si="120"/>
        <v>0</v>
      </c>
      <c r="CK147" s="20"/>
      <c r="CL147" s="20"/>
      <c r="CM147" s="20"/>
      <c r="CN147" s="20"/>
      <c r="CO147" s="23">
        <f t="shared" si="121"/>
        <v>0</v>
      </c>
      <c r="CP147" s="16"/>
      <c r="CQ147" s="16" t="s">
        <v>243</v>
      </c>
      <c r="CR147" s="16"/>
      <c r="CS147" s="16">
        <v>500</v>
      </c>
      <c r="CT147" s="23">
        <f t="shared" si="122"/>
        <v>0</v>
      </c>
      <c r="CU147" s="20"/>
      <c r="CV147" s="20" t="s">
        <v>503</v>
      </c>
      <c r="CW147" s="20"/>
      <c r="CX147" s="20">
        <v>250</v>
      </c>
      <c r="CY147" s="23">
        <f t="shared" si="123"/>
        <v>0</v>
      </c>
      <c r="CZ147" s="20"/>
      <c r="DA147" s="20" t="s">
        <v>67</v>
      </c>
      <c r="DB147" s="20"/>
      <c r="DC147" s="20">
        <v>5000</v>
      </c>
      <c r="DD147" s="23">
        <f t="shared" si="124"/>
        <v>0</v>
      </c>
      <c r="DE147" s="16"/>
      <c r="DF147" s="16" t="s">
        <v>65</v>
      </c>
      <c r="DG147" s="16"/>
      <c r="DH147" s="19">
        <v>950</v>
      </c>
      <c r="DI147" s="16">
        <f t="shared" si="125"/>
        <v>0</v>
      </c>
      <c r="DJ147" s="20"/>
      <c r="DK147" s="20" t="s">
        <v>83</v>
      </c>
      <c r="DL147" s="20"/>
      <c r="DM147" s="20">
        <v>3300</v>
      </c>
      <c r="DN147" s="16">
        <f t="shared" si="126"/>
        <v>0</v>
      </c>
      <c r="DO147" s="20"/>
      <c r="DP147" s="20"/>
      <c r="DQ147" s="20"/>
      <c r="DR147" s="20"/>
      <c r="DS147" s="16">
        <f t="shared" si="127"/>
        <v>0</v>
      </c>
      <c r="DT147" s="20"/>
      <c r="DU147" s="20" t="s">
        <v>147</v>
      </c>
      <c r="DV147" s="20"/>
      <c r="DW147" s="20">
        <v>250</v>
      </c>
      <c r="DX147" s="24">
        <f t="shared" si="128"/>
        <v>0</v>
      </c>
    </row>
    <row r="148" spans="1:128" s="2" customFormat="1" x14ac:dyDescent="0.3">
      <c r="A148" s="20"/>
      <c r="B148" s="16" t="str">
        <f>CL129</f>
        <v>FISIOTERAPI</v>
      </c>
      <c r="C148" s="16">
        <f>CO158</f>
        <v>0</v>
      </c>
      <c r="D148" s="17"/>
      <c r="E148" s="20" t="s">
        <v>232</v>
      </c>
      <c r="F148" s="17"/>
      <c r="G148" s="17">
        <v>9000</v>
      </c>
      <c r="H148" s="16">
        <f t="shared" si="104"/>
        <v>0</v>
      </c>
      <c r="I148" s="19"/>
      <c r="J148" s="16" t="s">
        <v>57</v>
      </c>
      <c r="K148" s="16"/>
      <c r="L148" s="19">
        <v>4000</v>
      </c>
      <c r="M148" s="16">
        <f t="shared" si="105"/>
        <v>0</v>
      </c>
      <c r="N148" s="17"/>
      <c r="O148" s="20" t="s">
        <v>151</v>
      </c>
      <c r="P148" s="21"/>
      <c r="Q148" s="19">
        <v>250</v>
      </c>
      <c r="R148" s="16">
        <f t="shared" si="106"/>
        <v>0</v>
      </c>
      <c r="S148" s="20"/>
      <c r="T148" s="20" t="s">
        <v>158</v>
      </c>
      <c r="U148" s="20"/>
      <c r="V148" s="16">
        <v>5000</v>
      </c>
      <c r="W148" s="16">
        <f t="shared" si="107"/>
        <v>0</v>
      </c>
      <c r="X148" s="16"/>
      <c r="Y148" s="16"/>
      <c r="Z148" s="16"/>
      <c r="AA148" s="16"/>
      <c r="AB148" s="16">
        <f t="shared" si="108"/>
        <v>0</v>
      </c>
      <c r="AC148" s="20"/>
      <c r="AD148" s="20" t="s">
        <v>236</v>
      </c>
      <c r="AE148" s="20"/>
      <c r="AF148" s="20">
        <v>25000</v>
      </c>
      <c r="AG148" s="16">
        <f t="shared" si="109"/>
        <v>0</v>
      </c>
      <c r="AH148" s="16"/>
      <c r="AI148" s="16" t="s">
        <v>90</v>
      </c>
      <c r="AJ148" s="22"/>
      <c r="AK148" s="19">
        <v>7000</v>
      </c>
      <c r="AL148" s="16">
        <f t="shared" si="110"/>
        <v>0</v>
      </c>
      <c r="AM148" s="16"/>
      <c r="AN148" s="16"/>
      <c r="AO148" s="16"/>
      <c r="AP148" s="16"/>
      <c r="AQ148" s="16">
        <f t="shared" si="111"/>
        <v>0</v>
      </c>
      <c r="AR148" s="16"/>
      <c r="AS148" s="16" t="s">
        <v>258</v>
      </c>
      <c r="AT148" s="16"/>
      <c r="AU148" s="16"/>
      <c r="AV148" s="16">
        <f t="shared" si="112"/>
        <v>0</v>
      </c>
      <c r="AW148" s="16"/>
      <c r="AX148" s="16"/>
      <c r="AY148" s="16"/>
      <c r="AZ148" s="16"/>
      <c r="BA148" s="16">
        <f t="shared" si="113"/>
        <v>0</v>
      </c>
      <c r="BB148" s="20"/>
      <c r="BC148" s="20" t="s">
        <v>146</v>
      </c>
      <c r="BD148" s="17"/>
      <c r="BE148" s="17">
        <v>7000</v>
      </c>
      <c r="BF148" s="16">
        <f t="shared" si="114"/>
        <v>0</v>
      </c>
      <c r="BG148" s="20"/>
      <c r="BH148" s="20" t="s">
        <v>203</v>
      </c>
      <c r="BI148" s="20"/>
      <c r="BJ148" s="20">
        <v>20000</v>
      </c>
      <c r="BK148" s="16">
        <f t="shared" si="115"/>
        <v>0</v>
      </c>
      <c r="BL148" s="16"/>
      <c r="BM148" s="16" t="s">
        <v>627</v>
      </c>
      <c r="BN148" s="16"/>
      <c r="BO148" s="16">
        <v>250</v>
      </c>
      <c r="BP148" s="16">
        <f t="shared" si="116"/>
        <v>0</v>
      </c>
      <c r="BQ148" s="16"/>
      <c r="BR148" s="16"/>
      <c r="BS148" s="16"/>
      <c r="BT148" s="16"/>
      <c r="BU148" s="16">
        <f t="shared" si="117"/>
        <v>0</v>
      </c>
      <c r="BV148" s="16"/>
      <c r="BW148" s="16"/>
      <c r="BX148" s="16"/>
      <c r="BY148" s="16"/>
      <c r="BZ148" s="20">
        <f t="shared" si="118"/>
        <v>0</v>
      </c>
      <c r="CA148" s="16"/>
      <c r="CB148" s="16"/>
      <c r="CC148" s="16"/>
      <c r="CD148" s="16"/>
      <c r="CE148" s="16">
        <f t="shared" si="119"/>
        <v>0</v>
      </c>
      <c r="CF148" s="16"/>
      <c r="CG148" s="16" t="s">
        <v>330</v>
      </c>
      <c r="CH148" s="22"/>
      <c r="CI148" s="19">
        <v>85000</v>
      </c>
      <c r="CJ148" s="23">
        <f t="shared" si="120"/>
        <v>0</v>
      </c>
      <c r="CK148" s="20"/>
      <c r="CL148" s="20"/>
      <c r="CM148" s="20"/>
      <c r="CN148" s="20"/>
      <c r="CO148" s="23">
        <f t="shared" si="121"/>
        <v>0</v>
      </c>
      <c r="CP148" s="16"/>
      <c r="CQ148" s="16" t="s">
        <v>267</v>
      </c>
      <c r="CR148" s="16"/>
      <c r="CS148" s="16">
        <v>15000</v>
      </c>
      <c r="CT148" s="23">
        <f t="shared" si="122"/>
        <v>0</v>
      </c>
      <c r="CU148" s="20"/>
      <c r="CV148" s="20" t="s">
        <v>53</v>
      </c>
      <c r="CW148" s="20"/>
      <c r="CX148" s="20">
        <v>1000</v>
      </c>
      <c r="CY148" s="23">
        <f t="shared" si="123"/>
        <v>0</v>
      </c>
      <c r="CZ148" s="20"/>
      <c r="DA148" s="20" t="s">
        <v>103</v>
      </c>
      <c r="DB148" s="20"/>
      <c r="DC148" s="20">
        <v>600</v>
      </c>
      <c r="DD148" s="23">
        <f t="shared" si="124"/>
        <v>0</v>
      </c>
      <c r="DE148" s="16"/>
      <c r="DF148" s="16" t="s">
        <v>628</v>
      </c>
      <c r="DG148" s="16"/>
      <c r="DH148" s="16">
        <v>1300</v>
      </c>
      <c r="DI148" s="16">
        <f t="shared" si="125"/>
        <v>0</v>
      </c>
      <c r="DJ148" s="20"/>
      <c r="DK148" s="20" t="s">
        <v>88</v>
      </c>
      <c r="DL148" s="20"/>
      <c r="DM148" s="20">
        <v>2500</v>
      </c>
      <c r="DN148" s="16">
        <f t="shared" si="126"/>
        <v>0</v>
      </c>
      <c r="DO148" s="20"/>
      <c r="DP148" s="20"/>
      <c r="DQ148" s="20"/>
      <c r="DR148" s="20"/>
      <c r="DS148" s="16">
        <f t="shared" si="127"/>
        <v>0</v>
      </c>
      <c r="DT148" s="20"/>
      <c r="DU148" s="20" t="s">
        <v>629</v>
      </c>
      <c r="DV148" s="20"/>
      <c r="DW148" s="20">
        <v>250</v>
      </c>
      <c r="DX148" s="24">
        <f t="shared" si="128"/>
        <v>0</v>
      </c>
    </row>
    <row r="149" spans="1:128" s="2" customFormat="1" x14ac:dyDescent="0.3">
      <c r="A149" s="20"/>
      <c r="B149" s="16" t="str">
        <f>CQ129</f>
        <v>AULA</v>
      </c>
      <c r="C149" s="16">
        <f>CT158</f>
        <v>0</v>
      </c>
      <c r="D149" s="17"/>
      <c r="E149" s="20" t="s">
        <v>169</v>
      </c>
      <c r="F149" s="17"/>
      <c r="G149" s="17">
        <v>10000</v>
      </c>
      <c r="H149" s="16">
        <f t="shared" si="104"/>
        <v>0</v>
      </c>
      <c r="I149" s="19"/>
      <c r="J149" s="16" t="s">
        <v>68</v>
      </c>
      <c r="K149" s="16"/>
      <c r="L149" s="19">
        <v>9000</v>
      </c>
      <c r="M149" s="16">
        <f t="shared" si="105"/>
        <v>0</v>
      </c>
      <c r="N149" s="17"/>
      <c r="O149" s="20" t="s">
        <v>165</v>
      </c>
      <c r="P149" s="21"/>
      <c r="Q149" s="19">
        <v>250</v>
      </c>
      <c r="R149" s="16">
        <f t="shared" si="106"/>
        <v>0</v>
      </c>
      <c r="S149" s="20"/>
      <c r="T149" s="20" t="s">
        <v>84</v>
      </c>
      <c r="U149" s="20"/>
      <c r="V149" s="16">
        <v>100</v>
      </c>
      <c r="W149" s="16">
        <f t="shared" si="107"/>
        <v>0</v>
      </c>
      <c r="X149" s="16"/>
      <c r="Y149" s="16"/>
      <c r="Z149" s="16"/>
      <c r="AA149" s="16"/>
      <c r="AB149" s="16">
        <f t="shared" si="108"/>
        <v>0</v>
      </c>
      <c r="AC149" s="20"/>
      <c r="AD149" s="20" t="s">
        <v>242</v>
      </c>
      <c r="AE149" s="20"/>
      <c r="AF149" s="20">
        <v>85000</v>
      </c>
      <c r="AG149" s="16">
        <f t="shared" si="109"/>
        <v>0</v>
      </c>
      <c r="AH149" s="16"/>
      <c r="AI149" s="16" t="s">
        <v>630</v>
      </c>
      <c r="AJ149" s="22"/>
      <c r="AK149" s="19">
        <v>1000</v>
      </c>
      <c r="AL149" s="16">
        <f t="shared" si="110"/>
        <v>0</v>
      </c>
      <c r="AM149" s="16"/>
      <c r="AN149" s="16"/>
      <c r="AO149" s="16"/>
      <c r="AP149" s="16"/>
      <c r="AQ149" s="16">
        <f t="shared" si="111"/>
        <v>0</v>
      </c>
      <c r="AR149" s="16"/>
      <c r="AS149" s="16" t="s">
        <v>81</v>
      </c>
      <c r="AT149" s="16"/>
      <c r="AU149" s="23">
        <v>7500</v>
      </c>
      <c r="AV149" s="16">
        <f t="shared" si="112"/>
        <v>0</v>
      </c>
      <c r="AW149" s="16"/>
      <c r="AX149" s="16"/>
      <c r="AY149" s="16"/>
      <c r="AZ149" s="16"/>
      <c r="BA149" s="16">
        <f t="shared" si="113"/>
        <v>0</v>
      </c>
      <c r="BB149" s="20"/>
      <c r="BC149" s="20" t="s">
        <v>551</v>
      </c>
      <c r="BD149" s="17"/>
      <c r="BE149" s="17">
        <v>15000</v>
      </c>
      <c r="BF149" s="16">
        <f t="shared" si="114"/>
        <v>0</v>
      </c>
      <c r="BG149" s="20"/>
      <c r="BH149" s="20" t="s">
        <v>152</v>
      </c>
      <c r="BI149" s="20"/>
      <c r="BJ149" s="20">
        <v>3500</v>
      </c>
      <c r="BK149" s="16">
        <f t="shared" si="115"/>
        <v>0</v>
      </c>
      <c r="BL149" s="16"/>
      <c r="BM149" s="16" t="s">
        <v>631</v>
      </c>
      <c r="BN149" s="16"/>
      <c r="BO149" s="16">
        <v>250</v>
      </c>
      <c r="BP149" s="16">
        <f t="shared" si="116"/>
        <v>0</v>
      </c>
      <c r="BQ149" s="16"/>
      <c r="BR149" s="16"/>
      <c r="BS149" s="16"/>
      <c r="BT149" s="16"/>
      <c r="BU149" s="16">
        <f t="shared" si="117"/>
        <v>0</v>
      </c>
      <c r="BV149" s="16"/>
      <c r="BW149" s="16"/>
      <c r="BX149" s="16"/>
      <c r="BY149" s="16"/>
      <c r="BZ149" s="20">
        <f t="shared" si="118"/>
        <v>0</v>
      </c>
      <c r="CA149" s="16"/>
      <c r="CB149" s="16"/>
      <c r="CC149" s="16"/>
      <c r="CD149" s="16"/>
      <c r="CE149" s="16">
        <f t="shared" si="119"/>
        <v>0</v>
      </c>
      <c r="CF149" s="16"/>
      <c r="CG149" s="16"/>
      <c r="CH149" s="16"/>
      <c r="CI149" s="23"/>
      <c r="CJ149" s="23">
        <f t="shared" si="120"/>
        <v>0</v>
      </c>
      <c r="CK149" s="20"/>
      <c r="CL149" s="20"/>
      <c r="CM149" s="20"/>
      <c r="CN149" s="20"/>
      <c r="CO149" s="23">
        <f t="shared" si="121"/>
        <v>0</v>
      </c>
      <c r="CP149" s="16"/>
      <c r="CQ149" s="20" t="s">
        <v>152</v>
      </c>
      <c r="CR149" s="20"/>
      <c r="CS149" s="20">
        <v>3000</v>
      </c>
      <c r="CT149" s="23">
        <f t="shared" si="122"/>
        <v>0</v>
      </c>
      <c r="CU149" s="20"/>
      <c r="CV149" s="20" t="s">
        <v>619</v>
      </c>
      <c r="CW149" s="20"/>
      <c r="CX149" s="20">
        <v>250</v>
      </c>
      <c r="CY149" s="23">
        <f t="shared" si="123"/>
        <v>0</v>
      </c>
      <c r="CZ149" s="20"/>
      <c r="DA149" s="20" t="s">
        <v>235</v>
      </c>
      <c r="DB149" s="20"/>
      <c r="DC149" s="20">
        <v>22000</v>
      </c>
      <c r="DD149" s="23">
        <f t="shared" si="124"/>
        <v>0</v>
      </c>
      <c r="DE149" s="16"/>
      <c r="DF149" s="16"/>
      <c r="DG149" s="16"/>
      <c r="DH149" s="16"/>
      <c r="DI149" s="16">
        <f t="shared" si="125"/>
        <v>0</v>
      </c>
      <c r="DJ149" s="20"/>
      <c r="DK149" s="20" t="s">
        <v>65</v>
      </c>
      <c r="DL149" s="20"/>
      <c r="DM149" s="20">
        <v>1550</v>
      </c>
      <c r="DN149" s="16">
        <f t="shared" si="126"/>
        <v>0</v>
      </c>
      <c r="DO149" s="20"/>
      <c r="DP149" s="20"/>
      <c r="DQ149" s="20"/>
      <c r="DR149" s="20"/>
      <c r="DS149" s="16">
        <f t="shared" si="127"/>
        <v>0</v>
      </c>
      <c r="DT149" s="20"/>
      <c r="DU149" s="20" t="s">
        <v>179</v>
      </c>
      <c r="DV149" s="20"/>
      <c r="DW149" s="20">
        <v>35000</v>
      </c>
      <c r="DX149" s="24">
        <f t="shared" si="128"/>
        <v>0</v>
      </c>
    </row>
    <row r="150" spans="1:128" s="2" customFormat="1" x14ac:dyDescent="0.3">
      <c r="A150" s="20"/>
      <c r="B150" s="16" t="str">
        <f>CV129</f>
        <v>PERINA PICU NICU</v>
      </c>
      <c r="C150" s="16">
        <f>CY158</f>
        <v>0</v>
      </c>
      <c r="D150" s="17"/>
      <c r="E150" s="20" t="s">
        <v>303</v>
      </c>
      <c r="F150" s="17"/>
      <c r="G150" s="17">
        <v>10000</v>
      </c>
      <c r="H150" s="16">
        <f t="shared" si="104"/>
        <v>0</v>
      </c>
      <c r="I150" s="19"/>
      <c r="J150" s="16" t="s">
        <v>225</v>
      </c>
      <c r="K150" s="16"/>
      <c r="L150" s="16">
        <v>3900</v>
      </c>
      <c r="M150" s="16">
        <f t="shared" si="105"/>
        <v>0</v>
      </c>
      <c r="N150" s="17"/>
      <c r="O150" s="20" t="s">
        <v>65</v>
      </c>
      <c r="P150" s="21"/>
      <c r="Q150" s="19">
        <v>950</v>
      </c>
      <c r="R150" s="16">
        <f t="shared" si="106"/>
        <v>0</v>
      </c>
      <c r="S150" s="20"/>
      <c r="T150" s="20" t="s">
        <v>203</v>
      </c>
      <c r="U150" s="20"/>
      <c r="V150" s="16">
        <v>10000</v>
      </c>
      <c r="W150" s="16">
        <f t="shared" si="107"/>
        <v>0</v>
      </c>
      <c r="X150" s="16"/>
      <c r="Y150" s="16"/>
      <c r="Z150" s="16"/>
      <c r="AA150" s="16"/>
      <c r="AB150" s="16">
        <f t="shared" si="108"/>
        <v>0</v>
      </c>
      <c r="AC150" s="20"/>
      <c r="AD150" s="20" t="s">
        <v>252</v>
      </c>
      <c r="AE150" s="20"/>
      <c r="AF150" s="20">
        <v>8500</v>
      </c>
      <c r="AG150" s="16">
        <f t="shared" si="109"/>
        <v>0</v>
      </c>
      <c r="AH150" s="16"/>
      <c r="AI150" s="16" t="s">
        <v>632</v>
      </c>
      <c r="AJ150" s="22"/>
      <c r="AK150" s="19">
        <v>1000</v>
      </c>
      <c r="AL150" s="16">
        <f t="shared" si="110"/>
        <v>0</v>
      </c>
      <c r="AM150" s="16"/>
      <c r="AN150" s="16"/>
      <c r="AO150" s="16"/>
      <c r="AP150" s="16"/>
      <c r="AQ150" s="16">
        <f t="shared" si="111"/>
        <v>0</v>
      </c>
      <c r="AR150" s="16"/>
      <c r="AS150" s="16"/>
      <c r="AT150" s="16"/>
      <c r="AU150" s="16"/>
      <c r="AV150" s="16">
        <f t="shared" si="112"/>
        <v>0</v>
      </c>
      <c r="AW150" s="16"/>
      <c r="AX150" s="16"/>
      <c r="AY150" s="16"/>
      <c r="AZ150" s="16"/>
      <c r="BA150" s="16">
        <f t="shared" si="113"/>
        <v>0</v>
      </c>
      <c r="BB150" s="20"/>
      <c r="BC150" s="20" t="s">
        <v>107</v>
      </c>
      <c r="BD150" s="17"/>
      <c r="BE150" s="17">
        <v>11000</v>
      </c>
      <c r="BF150" s="16">
        <f t="shared" si="114"/>
        <v>0</v>
      </c>
      <c r="BG150" s="20"/>
      <c r="BH150" s="20" t="s">
        <v>179</v>
      </c>
      <c r="BI150" s="20"/>
      <c r="BJ150" s="20">
        <v>35000</v>
      </c>
      <c r="BK150" s="16">
        <f t="shared" si="115"/>
        <v>0</v>
      </c>
      <c r="BL150" s="16"/>
      <c r="BM150" s="16" t="s">
        <v>458</v>
      </c>
      <c r="BN150" s="16"/>
      <c r="BO150" s="16">
        <v>250</v>
      </c>
      <c r="BP150" s="16">
        <f t="shared" si="116"/>
        <v>0</v>
      </c>
      <c r="BQ150" s="16"/>
      <c r="BR150" s="16"/>
      <c r="BS150" s="16"/>
      <c r="BT150" s="16"/>
      <c r="BU150" s="16">
        <f t="shared" si="117"/>
        <v>0</v>
      </c>
      <c r="BV150" s="16"/>
      <c r="BW150" s="16"/>
      <c r="BX150" s="16"/>
      <c r="BY150" s="16"/>
      <c r="BZ150" s="20">
        <f t="shared" si="118"/>
        <v>0</v>
      </c>
      <c r="CA150" s="16"/>
      <c r="CB150" s="16"/>
      <c r="CC150" s="16"/>
      <c r="CD150" s="16"/>
      <c r="CE150" s="16">
        <f t="shared" si="119"/>
        <v>0</v>
      </c>
      <c r="CF150" s="16"/>
      <c r="CG150" s="16"/>
      <c r="CH150" s="16"/>
      <c r="CI150" s="23"/>
      <c r="CJ150" s="23">
        <f t="shared" si="120"/>
        <v>0</v>
      </c>
      <c r="CK150" s="20"/>
      <c r="CL150" s="20"/>
      <c r="CM150" s="20"/>
      <c r="CN150" s="20"/>
      <c r="CO150" s="23">
        <f t="shared" si="121"/>
        <v>0</v>
      </c>
      <c r="CP150" s="16"/>
      <c r="CQ150" s="20" t="s">
        <v>40</v>
      </c>
      <c r="CR150" s="21"/>
      <c r="CS150" s="19">
        <v>2000</v>
      </c>
      <c r="CT150" s="23">
        <f t="shared" si="122"/>
        <v>0</v>
      </c>
      <c r="CU150" s="20"/>
      <c r="CV150" s="20" t="s">
        <v>183</v>
      </c>
      <c r="CW150" s="20"/>
      <c r="CX150" s="20">
        <v>250</v>
      </c>
      <c r="CY150" s="23">
        <f t="shared" si="123"/>
        <v>0</v>
      </c>
      <c r="CZ150" s="20"/>
      <c r="DA150" s="20" t="s">
        <v>87</v>
      </c>
      <c r="DB150" s="20"/>
      <c r="DC150" s="20">
        <v>1550</v>
      </c>
      <c r="DD150" s="23">
        <f t="shared" si="124"/>
        <v>0</v>
      </c>
      <c r="DE150" s="16"/>
      <c r="DF150" s="16"/>
      <c r="DG150" s="16"/>
      <c r="DH150" s="16"/>
      <c r="DI150" s="16">
        <f t="shared" si="125"/>
        <v>0</v>
      </c>
      <c r="DJ150" s="20"/>
      <c r="DK150" s="20" t="s">
        <v>235</v>
      </c>
      <c r="DL150" s="20"/>
      <c r="DM150" s="20">
        <v>22000</v>
      </c>
      <c r="DN150" s="16">
        <f t="shared" si="126"/>
        <v>0</v>
      </c>
      <c r="DO150" s="20"/>
      <c r="DP150" s="20"/>
      <c r="DQ150" s="20"/>
      <c r="DR150" s="20"/>
      <c r="DS150" s="16">
        <f t="shared" si="127"/>
        <v>0</v>
      </c>
      <c r="DT150" s="20"/>
      <c r="DU150" s="20" t="s">
        <v>198</v>
      </c>
      <c r="DV150" s="20"/>
      <c r="DW150" s="20">
        <v>22000</v>
      </c>
      <c r="DX150" s="24">
        <f t="shared" si="128"/>
        <v>0</v>
      </c>
    </row>
    <row r="151" spans="1:128" s="2" customFormat="1" x14ac:dyDescent="0.3">
      <c r="A151" s="20"/>
      <c r="B151" s="16" t="str">
        <f>DA129</f>
        <v>ICU</v>
      </c>
      <c r="C151" s="16">
        <f>DD158</f>
        <v>0</v>
      </c>
      <c r="D151" s="17"/>
      <c r="E151" s="20" t="s">
        <v>179</v>
      </c>
      <c r="F151" s="17"/>
      <c r="G151" s="17">
        <v>35000</v>
      </c>
      <c r="H151" s="16">
        <f t="shared" si="104"/>
        <v>0</v>
      </c>
      <c r="I151" s="19"/>
      <c r="J151" s="16" t="s">
        <v>53</v>
      </c>
      <c r="K151" s="16"/>
      <c r="L151" s="19">
        <v>1000</v>
      </c>
      <c r="M151" s="16">
        <f t="shared" si="105"/>
        <v>0</v>
      </c>
      <c r="N151" s="17"/>
      <c r="O151" s="20" t="s">
        <v>595</v>
      </c>
      <c r="P151" s="21"/>
      <c r="Q151" s="19">
        <v>100</v>
      </c>
      <c r="R151" s="16">
        <f t="shared" si="106"/>
        <v>0</v>
      </c>
      <c r="S151" s="20"/>
      <c r="T151" s="20" t="s">
        <v>179</v>
      </c>
      <c r="U151" s="20"/>
      <c r="V151" s="16">
        <v>35000</v>
      </c>
      <c r="W151" s="16">
        <f t="shared" si="107"/>
        <v>0</v>
      </c>
      <c r="X151" s="16"/>
      <c r="Y151" s="16"/>
      <c r="Z151" s="16"/>
      <c r="AA151" s="16"/>
      <c r="AB151" s="16">
        <f t="shared" si="108"/>
        <v>0</v>
      </c>
      <c r="AC151" s="20"/>
      <c r="AD151" s="20" t="s">
        <v>257</v>
      </c>
      <c r="AE151" s="20"/>
      <c r="AF151" s="20">
        <v>17000</v>
      </c>
      <c r="AG151" s="16">
        <f t="shared" si="109"/>
        <v>0</v>
      </c>
      <c r="AH151" s="16"/>
      <c r="AI151" s="16" t="s">
        <v>95</v>
      </c>
      <c r="AJ151" s="22"/>
      <c r="AK151" s="19">
        <v>15000</v>
      </c>
      <c r="AL151" s="16">
        <f t="shared" si="110"/>
        <v>0</v>
      </c>
      <c r="AM151" s="16"/>
      <c r="AN151" s="16"/>
      <c r="AO151" s="16"/>
      <c r="AP151" s="16"/>
      <c r="AQ151" s="16">
        <f t="shared" si="111"/>
        <v>0</v>
      </c>
      <c r="AR151" s="16"/>
      <c r="AS151" s="16"/>
      <c r="AT151" s="16"/>
      <c r="AU151" s="16"/>
      <c r="AV151" s="16">
        <f t="shared" si="112"/>
        <v>0</v>
      </c>
      <c r="AW151" s="16"/>
      <c r="AX151" s="16"/>
      <c r="AY151" s="16"/>
      <c r="AZ151" s="16"/>
      <c r="BA151" s="16">
        <f t="shared" si="113"/>
        <v>0</v>
      </c>
      <c r="BB151" s="20"/>
      <c r="BC151" s="20" t="s">
        <v>197</v>
      </c>
      <c r="BD151" s="17"/>
      <c r="BE151" s="17">
        <v>15000</v>
      </c>
      <c r="BF151" s="16">
        <f t="shared" si="114"/>
        <v>0</v>
      </c>
      <c r="BG151" s="20"/>
      <c r="BH151" s="20" t="s">
        <v>135</v>
      </c>
      <c r="BI151" s="20"/>
      <c r="BJ151" s="20">
        <v>6500</v>
      </c>
      <c r="BK151" s="16">
        <f t="shared" si="115"/>
        <v>0</v>
      </c>
      <c r="BL151" s="16"/>
      <c r="BM151" s="20" t="s">
        <v>179</v>
      </c>
      <c r="BN151" s="20"/>
      <c r="BO151" s="20">
        <v>35000</v>
      </c>
      <c r="BP151" s="16">
        <f t="shared" si="116"/>
        <v>0</v>
      </c>
      <c r="BQ151" s="16"/>
      <c r="BR151" s="16"/>
      <c r="BS151" s="16"/>
      <c r="BT151" s="16"/>
      <c r="BU151" s="16">
        <f t="shared" si="117"/>
        <v>0</v>
      </c>
      <c r="BV151" s="16"/>
      <c r="BW151" s="16"/>
      <c r="BX151" s="16"/>
      <c r="BY151" s="16"/>
      <c r="BZ151" s="20">
        <f t="shared" si="118"/>
        <v>0</v>
      </c>
      <c r="CA151" s="16"/>
      <c r="CB151" s="16"/>
      <c r="CC151" s="16"/>
      <c r="CD151" s="16"/>
      <c r="CE151" s="16">
        <f t="shared" si="119"/>
        <v>0</v>
      </c>
      <c r="CF151" s="16"/>
      <c r="CG151" s="16"/>
      <c r="CH151" s="16"/>
      <c r="CI151" s="23"/>
      <c r="CJ151" s="23">
        <f t="shared" si="120"/>
        <v>0</v>
      </c>
      <c r="CK151" s="20"/>
      <c r="CL151" s="20"/>
      <c r="CM151" s="20"/>
      <c r="CN151" s="20"/>
      <c r="CO151" s="23">
        <f t="shared" si="121"/>
        <v>0</v>
      </c>
      <c r="CP151" s="16"/>
      <c r="CQ151" s="20" t="s">
        <v>285</v>
      </c>
      <c r="CR151" s="20"/>
      <c r="CS151" s="20">
        <v>8500</v>
      </c>
      <c r="CT151" s="23">
        <f t="shared" si="122"/>
        <v>0</v>
      </c>
      <c r="CU151" s="20"/>
      <c r="CV151" s="20" t="s">
        <v>633</v>
      </c>
      <c r="CW151" s="20"/>
      <c r="CX151" s="20">
        <v>250</v>
      </c>
      <c r="CY151" s="23">
        <f t="shared" si="123"/>
        <v>0</v>
      </c>
      <c r="CZ151" s="20"/>
      <c r="DA151" s="20" t="s">
        <v>105</v>
      </c>
      <c r="DB151" s="20"/>
      <c r="DC151" s="20">
        <v>1000</v>
      </c>
      <c r="DD151" s="23">
        <f t="shared" si="124"/>
        <v>0</v>
      </c>
      <c r="DE151" s="16"/>
      <c r="DF151" s="16"/>
      <c r="DG151" s="16"/>
      <c r="DH151" s="16"/>
      <c r="DI151" s="16">
        <f t="shared" si="125"/>
        <v>0</v>
      </c>
      <c r="DJ151" s="20"/>
      <c r="DK151" s="20"/>
      <c r="DL151" s="20"/>
      <c r="DM151" s="20"/>
      <c r="DN151" s="16">
        <f t="shared" si="126"/>
        <v>0</v>
      </c>
      <c r="DO151" s="20"/>
      <c r="DP151" s="20"/>
      <c r="DQ151" s="20"/>
      <c r="DR151" s="20"/>
      <c r="DS151" s="16">
        <f t="shared" si="127"/>
        <v>0</v>
      </c>
      <c r="DT151" s="20"/>
      <c r="DU151" s="20" t="s">
        <v>634</v>
      </c>
      <c r="DV151" s="20"/>
      <c r="DW151" s="20">
        <v>7000</v>
      </c>
      <c r="DX151" s="24">
        <f t="shared" si="128"/>
        <v>0</v>
      </c>
    </row>
    <row r="152" spans="1:128" s="2" customFormat="1" x14ac:dyDescent="0.3">
      <c r="A152" s="20"/>
      <c r="B152" s="16" t="str">
        <f>DF129</f>
        <v>GIZI</v>
      </c>
      <c r="C152" s="16">
        <f>DI158</f>
        <v>0</v>
      </c>
      <c r="D152" s="17"/>
      <c r="E152" s="20" t="s">
        <v>169</v>
      </c>
      <c r="F152" s="17"/>
      <c r="G152" s="17">
        <v>5000</v>
      </c>
      <c r="H152" s="16">
        <f t="shared" si="104"/>
        <v>0</v>
      </c>
      <c r="I152" s="19"/>
      <c r="J152" s="16" t="s">
        <v>69</v>
      </c>
      <c r="K152" s="16"/>
      <c r="L152" s="19">
        <v>1000</v>
      </c>
      <c r="M152" s="16">
        <f t="shared" si="105"/>
        <v>0</v>
      </c>
      <c r="N152" s="17"/>
      <c r="O152" s="20" t="s">
        <v>110</v>
      </c>
      <c r="P152" s="21"/>
      <c r="Q152" s="19">
        <v>85000</v>
      </c>
      <c r="R152" s="16">
        <f t="shared" si="106"/>
        <v>0</v>
      </c>
      <c r="S152" s="20"/>
      <c r="T152" s="20" t="s">
        <v>609</v>
      </c>
      <c r="U152" s="20"/>
      <c r="V152" s="16">
        <v>15000</v>
      </c>
      <c r="W152" s="16">
        <f t="shared" si="107"/>
        <v>0</v>
      </c>
      <c r="X152" s="16"/>
      <c r="Y152" s="16"/>
      <c r="Z152" s="16"/>
      <c r="AA152" s="16"/>
      <c r="AB152" s="16">
        <f t="shared" si="108"/>
        <v>0</v>
      </c>
      <c r="AC152" s="20"/>
      <c r="AD152" s="20" t="s">
        <v>185</v>
      </c>
      <c r="AE152" s="20"/>
      <c r="AF152" s="20">
        <v>15000</v>
      </c>
      <c r="AG152" s="16">
        <f t="shared" si="109"/>
        <v>0</v>
      </c>
      <c r="AH152" s="16"/>
      <c r="AI152" s="16" t="s">
        <v>54</v>
      </c>
      <c r="AJ152" s="22"/>
      <c r="AK152" s="19">
        <v>450</v>
      </c>
      <c r="AL152" s="16">
        <f t="shared" si="110"/>
        <v>0</v>
      </c>
      <c r="AM152" s="16"/>
      <c r="AN152" s="16"/>
      <c r="AO152" s="16"/>
      <c r="AP152" s="16"/>
      <c r="AQ152" s="16">
        <f t="shared" si="111"/>
        <v>0</v>
      </c>
      <c r="AR152" s="16"/>
      <c r="AS152" s="16"/>
      <c r="AT152" s="16"/>
      <c r="AU152" s="16"/>
      <c r="AV152" s="16">
        <f t="shared" si="112"/>
        <v>0</v>
      </c>
      <c r="AW152" s="16"/>
      <c r="AX152" s="16"/>
      <c r="AY152" s="16"/>
      <c r="AZ152" s="16"/>
      <c r="BA152" s="16">
        <f t="shared" si="113"/>
        <v>0</v>
      </c>
      <c r="BB152" s="20"/>
      <c r="BC152" s="20" t="s">
        <v>147</v>
      </c>
      <c r="BD152" s="17"/>
      <c r="BE152" s="17">
        <v>250</v>
      </c>
      <c r="BF152" s="16">
        <f t="shared" si="114"/>
        <v>0</v>
      </c>
      <c r="BG152" s="20"/>
      <c r="BH152" s="20" t="s">
        <v>69</v>
      </c>
      <c r="BI152" s="20"/>
      <c r="BJ152" s="20">
        <v>1000</v>
      </c>
      <c r="BK152" s="16">
        <f t="shared" si="115"/>
        <v>0</v>
      </c>
      <c r="BL152" s="16"/>
      <c r="BM152" s="16" t="s">
        <v>69</v>
      </c>
      <c r="BN152" s="16"/>
      <c r="BO152" s="16">
        <v>1000</v>
      </c>
      <c r="BP152" s="16">
        <f t="shared" si="116"/>
        <v>0</v>
      </c>
      <c r="BQ152" s="16"/>
      <c r="BR152" s="16"/>
      <c r="BS152" s="16"/>
      <c r="BT152" s="16"/>
      <c r="BU152" s="16">
        <f t="shared" si="117"/>
        <v>0</v>
      </c>
      <c r="BV152" s="16"/>
      <c r="BW152" s="16"/>
      <c r="BX152" s="16"/>
      <c r="BY152" s="16"/>
      <c r="BZ152" s="20">
        <f t="shared" si="118"/>
        <v>0</v>
      </c>
      <c r="CA152" s="16"/>
      <c r="CB152" s="16"/>
      <c r="CC152" s="16"/>
      <c r="CD152" s="16"/>
      <c r="CE152" s="16">
        <f t="shared" si="119"/>
        <v>0</v>
      </c>
      <c r="CF152" s="16"/>
      <c r="CG152" s="16"/>
      <c r="CH152" s="16"/>
      <c r="CI152" s="23"/>
      <c r="CJ152" s="23">
        <f t="shared" si="120"/>
        <v>0</v>
      </c>
      <c r="CK152" s="20"/>
      <c r="CL152" s="20"/>
      <c r="CM152" s="20"/>
      <c r="CN152" s="20"/>
      <c r="CO152" s="23">
        <f t="shared" si="121"/>
        <v>0</v>
      </c>
      <c r="CP152" s="16"/>
      <c r="CQ152" s="16"/>
      <c r="CR152" s="16"/>
      <c r="CS152" s="16"/>
      <c r="CT152" s="23">
        <f t="shared" si="122"/>
        <v>0</v>
      </c>
      <c r="CU152" s="20"/>
      <c r="CV152" s="20" t="s">
        <v>263</v>
      </c>
      <c r="CW152" s="20"/>
      <c r="CX152" s="20">
        <v>5000</v>
      </c>
      <c r="CY152" s="23">
        <f t="shared" si="123"/>
        <v>0</v>
      </c>
      <c r="CZ152" s="20"/>
      <c r="DA152" s="20" t="s">
        <v>635</v>
      </c>
      <c r="DB152" s="20"/>
      <c r="DC152" s="20">
        <v>250</v>
      </c>
      <c r="DD152" s="23">
        <f t="shared" si="124"/>
        <v>0</v>
      </c>
      <c r="DE152" s="16"/>
      <c r="DF152" s="16"/>
      <c r="DG152" s="16"/>
      <c r="DH152" s="16"/>
      <c r="DI152" s="16">
        <f t="shared" si="125"/>
        <v>0</v>
      </c>
      <c r="DJ152" s="20"/>
      <c r="DK152" s="20"/>
      <c r="DL152" s="20"/>
      <c r="DM152" s="20"/>
      <c r="DN152" s="16">
        <f t="shared" si="126"/>
        <v>0</v>
      </c>
      <c r="DO152" s="20"/>
      <c r="DP152" s="20"/>
      <c r="DQ152" s="20"/>
      <c r="DR152" s="20"/>
      <c r="DS152" s="16">
        <f t="shared" si="127"/>
        <v>0</v>
      </c>
      <c r="DT152" s="20"/>
      <c r="DU152" s="20" t="s">
        <v>390</v>
      </c>
      <c r="DV152" s="20"/>
      <c r="DW152" s="20">
        <v>3900</v>
      </c>
      <c r="DX152" s="24">
        <f t="shared" si="128"/>
        <v>0</v>
      </c>
    </row>
    <row r="153" spans="1:128" s="2" customFormat="1" x14ac:dyDescent="0.3">
      <c r="A153" s="20"/>
      <c r="B153" s="16" t="s">
        <v>28</v>
      </c>
      <c r="C153" s="16">
        <f>DN158</f>
        <v>0</v>
      </c>
      <c r="D153" s="17"/>
      <c r="E153" s="20"/>
      <c r="F153" s="17"/>
      <c r="G153" s="17"/>
      <c r="H153" s="16">
        <f t="shared" si="104"/>
        <v>0</v>
      </c>
      <c r="I153" s="19"/>
      <c r="J153" s="16" t="s">
        <v>202</v>
      </c>
      <c r="K153" s="16"/>
      <c r="L153" s="19">
        <v>15000</v>
      </c>
      <c r="M153" s="16">
        <f t="shared" si="105"/>
        <v>0</v>
      </c>
      <c r="N153" s="17"/>
      <c r="O153" s="20" t="s">
        <v>208</v>
      </c>
      <c r="P153" s="21"/>
      <c r="Q153" s="19">
        <v>7000</v>
      </c>
      <c r="R153" s="16">
        <f t="shared" si="106"/>
        <v>0</v>
      </c>
      <c r="S153" s="20"/>
      <c r="T153" s="20" t="s">
        <v>268</v>
      </c>
      <c r="U153" s="20"/>
      <c r="V153" s="16">
        <v>57000</v>
      </c>
      <c r="W153" s="16">
        <f t="shared" si="107"/>
        <v>0</v>
      </c>
      <c r="X153" s="16"/>
      <c r="Y153" s="16"/>
      <c r="Z153" s="16"/>
      <c r="AA153" s="16"/>
      <c r="AB153" s="16">
        <f t="shared" si="108"/>
        <v>0</v>
      </c>
      <c r="AC153" s="20"/>
      <c r="AD153" s="20" t="s">
        <v>636</v>
      </c>
      <c r="AE153" s="20"/>
      <c r="AF153" s="20">
        <v>250</v>
      </c>
      <c r="AG153" s="16">
        <f t="shared" si="109"/>
        <v>0</v>
      </c>
      <c r="AH153" s="16"/>
      <c r="AI153" s="16" t="s">
        <v>70</v>
      </c>
      <c r="AJ153" s="22"/>
      <c r="AK153" s="19">
        <v>350</v>
      </c>
      <c r="AL153" s="16">
        <f t="shared" si="110"/>
        <v>0</v>
      </c>
      <c r="AM153" s="16"/>
      <c r="AN153" s="16"/>
      <c r="AO153" s="16"/>
      <c r="AP153" s="16"/>
      <c r="AQ153" s="16">
        <f t="shared" si="111"/>
        <v>0</v>
      </c>
      <c r="AR153" s="16"/>
      <c r="AS153" s="16"/>
      <c r="AT153" s="16"/>
      <c r="AU153" s="16"/>
      <c r="AV153" s="16">
        <f t="shared" si="112"/>
        <v>0</v>
      </c>
      <c r="AW153" s="16"/>
      <c r="AX153" s="16"/>
      <c r="AY153" s="16"/>
      <c r="AZ153" s="16"/>
      <c r="BA153" s="16">
        <f t="shared" si="113"/>
        <v>0</v>
      </c>
      <c r="BB153" s="20"/>
      <c r="BC153" s="20" t="s">
        <v>270</v>
      </c>
      <c r="BD153" s="17"/>
      <c r="BE153" s="17">
        <v>4000</v>
      </c>
      <c r="BF153" s="16">
        <f t="shared" si="114"/>
        <v>0</v>
      </c>
      <c r="BG153" s="20"/>
      <c r="BH153" s="20" t="s">
        <v>53</v>
      </c>
      <c r="BI153" s="20"/>
      <c r="BJ153" s="20">
        <v>1000</v>
      </c>
      <c r="BK153" s="16">
        <f t="shared" si="115"/>
        <v>0</v>
      </c>
      <c r="BL153" s="16"/>
      <c r="BM153" s="16" t="s">
        <v>53</v>
      </c>
      <c r="BN153" s="16"/>
      <c r="BO153" s="16">
        <v>1000</v>
      </c>
      <c r="BP153" s="16">
        <f t="shared" si="116"/>
        <v>0</v>
      </c>
      <c r="BQ153" s="16"/>
      <c r="BR153" s="16"/>
      <c r="BS153" s="16"/>
      <c r="BT153" s="16"/>
      <c r="BU153" s="16">
        <f t="shared" si="117"/>
        <v>0</v>
      </c>
      <c r="BV153" s="16"/>
      <c r="BW153" s="16"/>
      <c r="BX153" s="16"/>
      <c r="BY153" s="16"/>
      <c r="BZ153" s="20">
        <f t="shared" si="118"/>
        <v>0</v>
      </c>
      <c r="CA153" s="16"/>
      <c r="CB153" s="16"/>
      <c r="CC153" s="16"/>
      <c r="CD153" s="16"/>
      <c r="CE153" s="16">
        <f t="shared" si="119"/>
        <v>0</v>
      </c>
      <c r="CF153" s="16"/>
      <c r="CG153" s="16"/>
      <c r="CH153" s="16"/>
      <c r="CI153" s="23"/>
      <c r="CJ153" s="23">
        <f t="shared" si="120"/>
        <v>0</v>
      </c>
      <c r="CK153" s="20"/>
      <c r="CL153" s="20"/>
      <c r="CM153" s="20"/>
      <c r="CN153" s="20"/>
      <c r="CO153" s="23">
        <f t="shared" si="121"/>
        <v>0</v>
      </c>
      <c r="CP153" s="16"/>
      <c r="CQ153" s="16"/>
      <c r="CR153" s="16"/>
      <c r="CS153" s="16"/>
      <c r="CT153" s="23">
        <f t="shared" si="122"/>
        <v>0</v>
      </c>
      <c r="CU153" s="20"/>
      <c r="CV153" s="20" t="s">
        <v>271</v>
      </c>
      <c r="CW153" s="20"/>
      <c r="CX153" s="20">
        <v>250</v>
      </c>
      <c r="CY153" s="23">
        <f t="shared" si="123"/>
        <v>0</v>
      </c>
      <c r="CZ153" s="20"/>
      <c r="DA153" s="20" t="s">
        <v>637</v>
      </c>
      <c r="DB153" s="20"/>
      <c r="DC153" s="20">
        <v>250</v>
      </c>
      <c r="DD153" s="23">
        <f t="shared" si="124"/>
        <v>0</v>
      </c>
      <c r="DE153" s="16"/>
      <c r="DF153" s="16"/>
      <c r="DG153" s="16"/>
      <c r="DH153" s="16"/>
      <c r="DI153" s="16">
        <f t="shared" si="125"/>
        <v>0</v>
      </c>
      <c r="DJ153" s="20"/>
      <c r="DK153" s="20"/>
      <c r="DL153" s="20"/>
      <c r="DM153" s="20"/>
      <c r="DN153" s="16">
        <f t="shared" si="126"/>
        <v>0</v>
      </c>
      <c r="DO153" s="20"/>
      <c r="DP153" s="20"/>
      <c r="DQ153" s="20"/>
      <c r="DR153" s="20"/>
      <c r="DS153" s="16">
        <f t="shared" si="127"/>
        <v>0</v>
      </c>
      <c r="DT153" s="20"/>
      <c r="DU153" s="20" t="s">
        <v>87</v>
      </c>
      <c r="DV153" s="20"/>
      <c r="DW153" s="20">
        <v>1550</v>
      </c>
      <c r="DX153" s="24">
        <f t="shared" si="128"/>
        <v>0</v>
      </c>
    </row>
    <row r="154" spans="1:128" s="2" customFormat="1" x14ac:dyDescent="0.3">
      <c r="A154" s="20"/>
      <c r="B154" s="16" t="str">
        <f>DP129</f>
        <v>AROFAH</v>
      </c>
      <c r="C154" s="16">
        <f>DS158</f>
        <v>0</v>
      </c>
      <c r="D154" s="17"/>
      <c r="E154" s="20"/>
      <c r="F154" s="17"/>
      <c r="G154" s="17"/>
      <c r="H154" s="16">
        <f t="shared" si="104"/>
        <v>0</v>
      </c>
      <c r="I154" s="19"/>
      <c r="J154" s="16" t="s">
        <v>90</v>
      </c>
      <c r="K154" s="16"/>
      <c r="L154" s="19">
        <v>7000</v>
      </c>
      <c r="M154" s="16">
        <f t="shared" si="105"/>
        <v>0</v>
      </c>
      <c r="N154" s="17"/>
      <c r="O154" s="20" t="s">
        <v>198</v>
      </c>
      <c r="P154" s="21"/>
      <c r="Q154" s="19">
        <v>22000</v>
      </c>
      <c r="R154" s="16">
        <f t="shared" si="106"/>
        <v>0</v>
      </c>
      <c r="S154" s="20"/>
      <c r="T154" s="20" t="s">
        <v>273</v>
      </c>
      <c r="U154" s="20"/>
      <c r="V154" s="20">
        <v>4000</v>
      </c>
      <c r="W154" s="16">
        <f t="shared" si="107"/>
        <v>0</v>
      </c>
      <c r="X154" s="16"/>
      <c r="Y154" s="16"/>
      <c r="Z154" s="16"/>
      <c r="AA154" s="16"/>
      <c r="AB154" s="16">
        <f t="shared" si="108"/>
        <v>0</v>
      </c>
      <c r="AC154" s="20"/>
      <c r="AD154" s="20" t="s">
        <v>638</v>
      </c>
      <c r="AE154" s="20"/>
      <c r="AF154" s="20">
        <v>250</v>
      </c>
      <c r="AG154" s="16">
        <f t="shared" si="109"/>
        <v>0</v>
      </c>
      <c r="AH154" s="16"/>
      <c r="AI154" s="16" t="s">
        <v>189</v>
      </c>
      <c r="AJ154" s="22"/>
      <c r="AK154" s="16">
        <v>15000</v>
      </c>
      <c r="AL154" s="16">
        <f t="shared" si="110"/>
        <v>0</v>
      </c>
      <c r="AM154" s="16"/>
      <c r="AN154" s="16"/>
      <c r="AO154" s="16"/>
      <c r="AP154" s="16"/>
      <c r="AQ154" s="16">
        <f t="shared" si="111"/>
        <v>0</v>
      </c>
      <c r="AR154" s="16"/>
      <c r="AS154" s="16"/>
      <c r="AT154" s="16"/>
      <c r="AU154" s="16"/>
      <c r="AV154" s="16">
        <f t="shared" si="112"/>
        <v>0</v>
      </c>
      <c r="AW154" s="16"/>
      <c r="AX154" s="16"/>
      <c r="AY154" s="16"/>
      <c r="AZ154" s="16"/>
      <c r="BA154" s="16">
        <f t="shared" si="113"/>
        <v>0</v>
      </c>
      <c r="BB154" s="20"/>
      <c r="BC154" s="20" t="s">
        <v>275</v>
      </c>
      <c r="BD154" s="17"/>
      <c r="BE154" s="17">
        <v>35000</v>
      </c>
      <c r="BF154" s="16">
        <f t="shared" si="114"/>
        <v>0</v>
      </c>
      <c r="BG154" s="20"/>
      <c r="BH154" s="20" t="s">
        <v>58</v>
      </c>
      <c r="BI154" s="20"/>
      <c r="BJ154" s="20">
        <v>85000</v>
      </c>
      <c r="BK154" s="16">
        <f t="shared" si="115"/>
        <v>0</v>
      </c>
      <c r="BL154" s="16"/>
      <c r="BM154" s="16" t="s">
        <v>639</v>
      </c>
      <c r="BN154" s="16"/>
      <c r="BO154" s="16">
        <v>400</v>
      </c>
      <c r="BP154" s="16">
        <f t="shared" si="116"/>
        <v>0</v>
      </c>
      <c r="BQ154" s="16"/>
      <c r="BR154" s="16"/>
      <c r="BS154" s="16"/>
      <c r="BT154" s="16"/>
      <c r="BU154" s="16">
        <f t="shared" si="117"/>
        <v>0</v>
      </c>
      <c r="BV154" s="16"/>
      <c r="BW154" s="16"/>
      <c r="BX154" s="16"/>
      <c r="BY154" s="16"/>
      <c r="BZ154" s="20">
        <f t="shared" si="118"/>
        <v>0</v>
      </c>
      <c r="CA154" s="16"/>
      <c r="CB154" s="16"/>
      <c r="CC154" s="16"/>
      <c r="CD154" s="16"/>
      <c r="CE154" s="16">
        <f t="shared" si="119"/>
        <v>0</v>
      </c>
      <c r="CF154" s="16"/>
      <c r="CG154" s="16"/>
      <c r="CH154" s="16"/>
      <c r="CI154" s="23"/>
      <c r="CJ154" s="23">
        <f t="shared" si="120"/>
        <v>0</v>
      </c>
      <c r="CK154" s="20"/>
      <c r="CL154" s="20"/>
      <c r="CM154" s="20"/>
      <c r="CN154" s="20"/>
      <c r="CO154" s="23">
        <f t="shared" si="121"/>
        <v>0</v>
      </c>
      <c r="CP154" s="16"/>
      <c r="CQ154" s="16"/>
      <c r="CR154" s="16"/>
      <c r="CS154" s="16"/>
      <c r="CT154" s="23">
        <f t="shared" si="122"/>
        <v>0</v>
      </c>
      <c r="CU154" s="20"/>
      <c r="CV154" s="20" t="s">
        <v>312</v>
      </c>
      <c r="CW154" s="21"/>
      <c r="CX154" s="19">
        <v>12000</v>
      </c>
      <c r="CY154" s="23">
        <f t="shared" si="123"/>
        <v>0</v>
      </c>
      <c r="CZ154" s="20"/>
      <c r="DA154" s="20" t="s">
        <v>278</v>
      </c>
      <c r="DB154" s="20"/>
      <c r="DC154" s="20">
        <v>10000</v>
      </c>
      <c r="DD154" s="23">
        <f t="shared" si="124"/>
        <v>0</v>
      </c>
      <c r="DE154" s="16"/>
      <c r="DF154" s="16"/>
      <c r="DG154" s="16"/>
      <c r="DH154" s="16"/>
      <c r="DI154" s="16">
        <f t="shared" si="125"/>
        <v>0</v>
      </c>
      <c r="DJ154" s="20"/>
      <c r="DK154" s="20"/>
      <c r="DL154" s="20"/>
      <c r="DM154" s="20"/>
      <c r="DN154" s="16">
        <f t="shared" si="126"/>
        <v>0</v>
      </c>
      <c r="DO154" s="20"/>
      <c r="DP154" s="20"/>
      <c r="DQ154" s="20"/>
      <c r="DR154" s="20"/>
      <c r="DS154" s="16">
        <f t="shared" si="127"/>
        <v>0</v>
      </c>
      <c r="DT154" s="20"/>
      <c r="DU154" s="20" t="s">
        <v>51</v>
      </c>
      <c r="DV154" s="20"/>
      <c r="DW154" s="20">
        <v>100</v>
      </c>
      <c r="DX154" s="24">
        <f t="shared" si="128"/>
        <v>0</v>
      </c>
    </row>
    <row r="155" spans="1:128" s="2" customFormat="1" x14ac:dyDescent="0.3">
      <c r="A155" s="20"/>
      <c r="B155" s="16" t="s">
        <v>30</v>
      </c>
      <c r="C155" s="16">
        <f>DX158</f>
        <v>0</v>
      </c>
      <c r="D155" s="17"/>
      <c r="E155" s="20"/>
      <c r="F155" s="17"/>
      <c r="G155" s="17"/>
      <c r="H155" s="16">
        <f t="shared" si="104"/>
        <v>0</v>
      </c>
      <c r="I155" s="19"/>
      <c r="J155" s="20" t="s">
        <v>215</v>
      </c>
      <c r="K155" s="20"/>
      <c r="L155" s="20">
        <v>7000</v>
      </c>
      <c r="M155" s="16">
        <f t="shared" si="105"/>
        <v>0</v>
      </c>
      <c r="N155" s="17"/>
      <c r="O155" s="20" t="s">
        <v>312</v>
      </c>
      <c r="P155" s="21"/>
      <c r="Q155" s="19">
        <v>12000</v>
      </c>
      <c r="R155" s="16">
        <f t="shared" si="106"/>
        <v>0</v>
      </c>
      <c r="S155" s="20"/>
      <c r="T155" s="20" t="s">
        <v>203</v>
      </c>
      <c r="U155" s="20"/>
      <c r="V155" s="20">
        <v>10000</v>
      </c>
      <c r="W155" s="16">
        <f t="shared" si="107"/>
        <v>0</v>
      </c>
      <c r="X155" s="16"/>
      <c r="Y155" s="16"/>
      <c r="Z155" s="16"/>
      <c r="AA155" s="16"/>
      <c r="AB155" s="16">
        <f t="shared" si="108"/>
        <v>0</v>
      </c>
      <c r="AC155" s="20"/>
      <c r="AD155" s="20" t="s">
        <v>244</v>
      </c>
      <c r="AE155" s="20"/>
      <c r="AF155" s="20">
        <v>3900</v>
      </c>
      <c r="AG155" s="16">
        <f t="shared" si="109"/>
        <v>0</v>
      </c>
      <c r="AH155" s="16"/>
      <c r="AI155" s="16" t="s">
        <v>164</v>
      </c>
      <c r="AJ155" s="22"/>
      <c r="AK155" s="16">
        <v>15000</v>
      </c>
      <c r="AL155" s="16">
        <f t="shared" si="110"/>
        <v>0</v>
      </c>
      <c r="AM155" s="16"/>
      <c r="AN155" s="16"/>
      <c r="AO155" s="16"/>
      <c r="AP155" s="16"/>
      <c r="AQ155" s="16">
        <f t="shared" si="111"/>
        <v>0</v>
      </c>
      <c r="AR155" s="16"/>
      <c r="AS155" s="16"/>
      <c r="AT155" s="16"/>
      <c r="AU155" s="16"/>
      <c r="AV155" s="16">
        <f t="shared" si="112"/>
        <v>0</v>
      </c>
      <c r="AW155" s="16"/>
      <c r="AX155" s="16"/>
      <c r="AY155" s="16"/>
      <c r="AZ155" s="16"/>
      <c r="BA155" s="16">
        <f t="shared" si="113"/>
        <v>0</v>
      </c>
      <c r="BB155" s="20"/>
      <c r="BC155" s="20" t="s">
        <v>54</v>
      </c>
      <c r="BD155" s="17"/>
      <c r="BE155" s="17">
        <v>450</v>
      </c>
      <c r="BF155" s="16">
        <f t="shared" si="114"/>
        <v>0</v>
      </c>
      <c r="BG155" s="20"/>
      <c r="BH155" s="20" t="s">
        <v>51</v>
      </c>
      <c r="BI155" s="20"/>
      <c r="BJ155" s="20">
        <v>100</v>
      </c>
      <c r="BK155" s="16">
        <f t="shared" si="115"/>
        <v>0</v>
      </c>
      <c r="BL155" s="16"/>
      <c r="BM155" s="16" t="s">
        <v>51</v>
      </c>
      <c r="BN155" s="16"/>
      <c r="BO155" s="16">
        <v>100</v>
      </c>
      <c r="BP155" s="16">
        <f t="shared" si="116"/>
        <v>0</v>
      </c>
      <c r="BQ155" s="16"/>
      <c r="BR155" s="16"/>
      <c r="BS155" s="16"/>
      <c r="BT155" s="16"/>
      <c r="BU155" s="16">
        <f t="shared" si="117"/>
        <v>0</v>
      </c>
      <c r="BV155" s="16"/>
      <c r="BW155" s="16"/>
      <c r="BX155" s="16"/>
      <c r="BY155" s="16"/>
      <c r="BZ155" s="20">
        <f t="shared" si="118"/>
        <v>0</v>
      </c>
      <c r="CA155" s="16"/>
      <c r="CB155" s="16"/>
      <c r="CC155" s="16"/>
      <c r="CD155" s="16"/>
      <c r="CE155" s="16">
        <f t="shared" si="119"/>
        <v>0</v>
      </c>
      <c r="CF155" s="16"/>
      <c r="CG155" s="16"/>
      <c r="CH155" s="16"/>
      <c r="CI155" s="23"/>
      <c r="CJ155" s="23">
        <f t="shared" si="120"/>
        <v>0</v>
      </c>
      <c r="CK155" s="20"/>
      <c r="CL155" s="20"/>
      <c r="CM155" s="20"/>
      <c r="CN155" s="20"/>
      <c r="CO155" s="23">
        <f t="shared" si="121"/>
        <v>0</v>
      </c>
      <c r="CP155" s="16"/>
      <c r="CQ155" s="16"/>
      <c r="CR155" s="16"/>
      <c r="CS155" s="16"/>
      <c r="CT155" s="23">
        <f t="shared" si="122"/>
        <v>0</v>
      </c>
      <c r="CU155" s="20"/>
      <c r="CV155" s="20" t="s">
        <v>282</v>
      </c>
      <c r="CW155" s="20"/>
      <c r="CX155" s="20">
        <v>250</v>
      </c>
      <c r="CY155" s="23">
        <f t="shared" si="123"/>
        <v>0</v>
      </c>
      <c r="CZ155" s="20"/>
      <c r="DA155" s="20" t="s">
        <v>198</v>
      </c>
      <c r="DB155" s="20"/>
      <c r="DC155" s="20">
        <v>22000</v>
      </c>
      <c r="DD155" s="23">
        <f t="shared" si="124"/>
        <v>0</v>
      </c>
      <c r="DE155" s="16"/>
      <c r="DF155" s="16"/>
      <c r="DG155" s="16"/>
      <c r="DH155" s="16"/>
      <c r="DI155" s="16">
        <f t="shared" si="125"/>
        <v>0</v>
      </c>
      <c r="DJ155" s="20"/>
      <c r="DK155" s="20"/>
      <c r="DL155" s="20"/>
      <c r="DM155" s="20"/>
      <c r="DN155" s="16">
        <f t="shared" si="126"/>
        <v>0</v>
      </c>
      <c r="DO155" s="20"/>
      <c r="DP155" s="20"/>
      <c r="DQ155" s="20"/>
      <c r="DR155" s="20"/>
      <c r="DS155" s="16">
        <f t="shared" si="127"/>
        <v>0</v>
      </c>
      <c r="DT155" s="20"/>
      <c r="DU155" s="20" t="s">
        <v>283</v>
      </c>
      <c r="DV155" s="20"/>
      <c r="DW155" s="20">
        <v>35000</v>
      </c>
      <c r="DX155" s="24">
        <f t="shared" si="128"/>
        <v>0</v>
      </c>
    </row>
    <row r="156" spans="1:128" s="2" customFormat="1" x14ac:dyDescent="0.3">
      <c r="A156" s="20"/>
      <c r="B156" s="16"/>
      <c r="C156" s="16"/>
      <c r="D156" s="17"/>
      <c r="E156" s="20"/>
      <c r="F156" s="17"/>
      <c r="G156" s="17"/>
      <c r="H156" s="16">
        <f t="shared" si="104"/>
        <v>0</v>
      </c>
      <c r="I156" s="19"/>
      <c r="J156" s="16" t="s">
        <v>264</v>
      </c>
      <c r="K156" s="16"/>
      <c r="L156" s="19">
        <v>10000</v>
      </c>
      <c r="M156" s="16">
        <f t="shared" si="105"/>
        <v>0</v>
      </c>
      <c r="N156" s="17"/>
      <c r="O156" s="20" t="s">
        <v>284</v>
      </c>
      <c r="P156" s="21"/>
      <c r="Q156" s="19">
        <v>17000</v>
      </c>
      <c r="R156" s="16">
        <f t="shared" si="106"/>
        <v>0</v>
      </c>
      <c r="S156" s="20"/>
      <c r="T156" s="20" t="s">
        <v>152</v>
      </c>
      <c r="U156" s="20"/>
      <c r="V156" s="20">
        <v>3000</v>
      </c>
      <c r="W156" s="16">
        <f t="shared" si="107"/>
        <v>0</v>
      </c>
      <c r="X156" s="16"/>
      <c r="Y156" s="16"/>
      <c r="Z156" s="16"/>
      <c r="AA156" s="16"/>
      <c r="AB156" s="16">
        <f t="shared" si="108"/>
        <v>0</v>
      </c>
      <c r="AC156" s="20"/>
      <c r="AD156" s="20" t="s">
        <v>274</v>
      </c>
      <c r="AE156" s="20"/>
      <c r="AF156" s="20">
        <v>26500</v>
      </c>
      <c r="AG156" s="16">
        <f t="shared" si="109"/>
        <v>0</v>
      </c>
      <c r="AH156" s="16"/>
      <c r="AI156" s="16" t="s">
        <v>197</v>
      </c>
      <c r="AJ156" s="22"/>
      <c r="AK156" s="16">
        <v>15000</v>
      </c>
      <c r="AL156" s="16">
        <f t="shared" si="110"/>
        <v>0</v>
      </c>
      <c r="AM156" s="16"/>
      <c r="AN156" s="16"/>
      <c r="AO156" s="16"/>
      <c r="AP156" s="16"/>
      <c r="AQ156" s="16">
        <f t="shared" si="111"/>
        <v>0</v>
      </c>
      <c r="AR156" s="16"/>
      <c r="AS156" s="16"/>
      <c r="AT156" s="16"/>
      <c r="AU156" s="16"/>
      <c r="AV156" s="16">
        <f t="shared" si="112"/>
        <v>0</v>
      </c>
      <c r="AW156" s="16"/>
      <c r="AX156" s="16"/>
      <c r="AY156" s="16"/>
      <c r="AZ156" s="16"/>
      <c r="BA156" s="16">
        <f t="shared" si="113"/>
        <v>0</v>
      </c>
      <c r="BB156" s="20"/>
      <c r="BC156" s="20" t="s">
        <v>51</v>
      </c>
      <c r="BD156" s="17"/>
      <c r="BE156" s="17">
        <v>100</v>
      </c>
      <c r="BF156" s="16">
        <f t="shared" si="114"/>
        <v>0</v>
      </c>
      <c r="BG156" s="20"/>
      <c r="BH156" s="20" t="s">
        <v>198</v>
      </c>
      <c r="BI156" s="20"/>
      <c r="BJ156" s="20">
        <v>22000</v>
      </c>
      <c r="BK156" s="16">
        <f t="shared" si="115"/>
        <v>0</v>
      </c>
      <c r="BL156" s="16"/>
      <c r="BM156" s="16" t="s">
        <v>198</v>
      </c>
      <c r="BN156" s="16"/>
      <c r="BO156" s="16">
        <v>22000</v>
      </c>
      <c r="BP156" s="16">
        <f t="shared" si="116"/>
        <v>0</v>
      </c>
      <c r="BQ156" s="16"/>
      <c r="BR156" s="16"/>
      <c r="BS156" s="16"/>
      <c r="BT156" s="16"/>
      <c r="BU156" s="16">
        <f t="shared" si="117"/>
        <v>0</v>
      </c>
      <c r="BV156" s="16"/>
      <c r="BW156" s="16"/>
      <c r="BX156" s="16"/>
      <c r="BY156" s="16"/>
      <c r="BZ156" s="20">
        <f t="shared" si="118"/>
        <v>0</v>
      </c>
      <c r="CA156" s="16"/>
      <c r="CB156" s="16"/>
      <c r="CC156" s="16"/>
      <c r="CD156" s="16"/>
      <c r="CE156" s="16">
        <f t="shared" si="119"/>
        <v>0</v>
      </c>
      <c r="CF156" s="16"/>
      <c r="CG156" s="16"/>
      <c r="CH156" s="16"/>
      <c r="CI156" s="23"/>
      <c r="CJ156" s="23">
        <f t="shared" si="120"/>
        <v>0</v>
      </c>
      <c r="CK156" s="20"/>
      <c r="CL156" s="20"/>
      <c r="CM156" s="20"/>
      <c r="CN156" s="20"/>
      <c r="CO156" s="23">
        <f t="shared" si="121"/>
        <v>0</v>
      </c>
      <c r="CP156" s="16"/>
      <c r="CQ156" s="16"/>
      <c r="CR156" s="16"/>
      <c r="CS156" s="16"/>
      <c r="CT156" s="23">
        <f t="shared" si="122"/>
        <v>0</v>
      </c>
      <c r="CU156" s="20"/>
      <c r="CV156" s="20" t="s">
        <v>53</v>
      </c>
      <c r="CW156" s="20"/>
      <c r="CX156" s="20">
        <v>1000</v>
      </c>
      <c r="CY156" s="23">
        <f t="shared" si="123"/>
        <v>0</v>
      </c>
      <c r="CZ156" s="20"/>
      <c r="DA156" s="20" t="s">
        <v>84</v>
      </c>
      <c r="DB156" s="20"/>
      <c r="DC156" s="20">
        <v>100</v>
      </c>
      <c r="DD156" s="23">
        <f t="shared" si="124"/>
        <v>0</v>
      </c>
      <c r="DE156" s="16"/>
      <c r="DF156" s="16"/>
      <c r="DG156" s="16"/>
      <c r="DH156" s="16"/>
      <c r="DI156" s="16">
        <f t="shared" si="125"/>
        <v>0</v>
      </c>
      <c r="DJ156" s="20"/>
      <c r="DK156" s="20"/>
      <c r="DL156" s="20"/>
      <c r="DM156" s="20"/>
      <c r="DN156" s="16">
        <f t="shared" si="126"/>
        <v>0</v>
      </c>
      <c r="DO156" s="20"/>
      <c r="DP156" s="20"/>
      <c r="DQ156" s="20"/>
      <c r="DR156" s="20"/>
      <c r="DS156" s="16">
        <f t="shared" si="127"/>
        <v>0</v>
      </c>
      <c r="DT156" s="20"/>
      <c r="DU156" s="16" t="s">
        <v>157</v>
      </c>
      <c r="DV156" s="16"/>
      <c r="DW156" s="16">
        <v>15000</v>
      </c>
      <c r="DX156" s="24">
        <f t="shared" si="128"/>
        <v>0</v>
      </c>
    </row>
    <row r="157" spans="1:128" s="2" customFormat="1" x14ac:dyDescent="0.3">
      <c r="A157" s="20"/>
      <c r="B157" s="16"/>
      <c r="C157" s="16"/>
      <c r="D157" s="17"/>
      <c r="E157" s="20"/>
      <c r="F157" s="17"/>
      <c r="G157" s="17"/>
      <c r="H157" s="16">
        <f t="shared" si="104"/>
        <v>0</v>
      </c>
      <c r="I157" s="19"/>
      <c r="J157" s="16" t="s">
        <v>288</v>
      </c>
      <c r="K157" s="16"/>
      <c r="L157" s="19">
        <v>26500</v>
      </c>
      <c r="M157" s="16">
        <f t="shared" si="105"/>
        <v>0</v>
      </c>
      <c r="N157" s="17"/>
      <c r="O157" s="20" t="s">
        <v>352</v>
      </c>
      <c r="P157" s="21"/>
      <c r="Q157" s="16">
        <v>20000</v>
      </c>
      <c r="R157" s="16">
        <f t="shared" si="106"/>
        <v>0</v>
      </c>
      <c r="S157" s="20"/>
      <c r="T157" s="20" t="s">
        <v>84</v>
      </c>
      <c r="U157" s="20"/>
      <c r="V157" s="20">
        <v>100</v>
      </c>
      <c r="W157" s="16">
        <f t="shared" si="107"/>
        <v>0</v>
      </c>
      <c r="X157" s="16"/>
      <c r="Y157" s="16"/>
      <c r="Z157" s="16"/>
      <c r="AA157" s="16"/>
      <c r="AB157" s="16">
        <f t="shared" si="108"/>
        <v>0</v>
      </c>
      <c r="AC157" s="20"/>
      <c r="AD157" s="20" t="s">
        <v>288</v>
      </c>
      <c r="AE157" s="20"/>
      <c r="AF157" s="20">
        <v>26500</v>
      </c>
      <c r="AG157" s="16">
        <f t="shared" si="109"/>
        <v>0</v>
      </c>
      <c r="AH157" s="16"/>
      <c r="AI157" s="16" t="s">
        <v>552</v>
      </c>
      <c r="AJ157" s="22"/>
      <c r="AK157" s="16">
        <v>10000</v>
      </c>
      <c r="AL157" s="16">
        <f t="shared" si="110"/>
        <v>0</v>
      </c>
      <c r="AM157" s="16"/>
      <c r="AN157" s="16"/>
      <c r="AO157" s="16"/>
      <c r="AP157" s="16"/>
      <c r="AQ157" s="16">
        <f t="shared" si="111"/>
        <v>0</v>
      </c>
      <c r="AR157" s="16"/>
      <c r="AS157" s="16"/>
      <c r="AT157" s="16"/>
      <c r="AU157" s="16"/>
      <c r="AV157" s="16">
        <f t="shared" si="112"/>
        <v>0</v>
      </c>
      <c r="AW157" s="16"/>
      <c r="AX157" s="16"/>
      <c r="AY157" s="16"/>
      <c r="AZ157" s="16"/>
      <c r="BA157" s="16">
        <f t="shared" si="113"/>
        <v>0</v>
      </c>
      <c r="BB157" s="20"/>
      <c r="BC157" s="20" t="s">
        <v>70</v>
      </c>
      <c r="BD157" s="17"/>
      <c r="BE157" s="17">
        <v>350</v>
      </c>
      <c r="BF157" s="16">
        <f t="shared" si="114"/>
        <v>0</v>
      </c>
      <c r="BG157" s="20"/>
      <c r="BH157" s="20" t="s">
        <v>157</v>
      </c>
      <c r="BI157" s="20"/>
      <c r="BJ157" s="20">
        <v>15000</v>
      </c>
      <c r="BK157" s="16">
        <f t="shared" si="115"/>
        <v>0</v>
      </c>
      <c r="BL157" s="16"/>
      <c r="BM157" s="16" t="s">
        <v>179</v>
      </c>
      <c r="BN157" s="16"/>
      <c r="BO157" s="16">
        <v>0</v>
      </c>
      <c r="BP157" s="16">
        <f t="shared" si="116"/>
        <v>0</v>
      </c>
      <c r="BQ157" s="16"/>
      <c r="BR157" s="16"/>
      <c r="BS157" s="16"/>
      <c r="BT157" s="16"/>
      <c r="BU157" s="16">
        <f t="shared" si="117"/>
        <v>0</v>
      </c>
      <c r="BV157" s="16"/>
      <c r="BW157" s="16"/>
      <c r="BX157" s="16"/>
      <c r="BY157" s="16"/>
      <c r="BZ157" s="20">
        <f t="shared" si="118"/>
        <v>0</v>
      </c>
      <c r="CA157" s="16"/>
      <c r="CB157" s="16"/>
      <c r="CC157" s="16"/>
      <c r="CD157" s="16"/>
      <c r="CE157" s="16">
        <f t="shared" si="119"/>
        <v>0</v>
      </c>
      <c r="CF157" s="16"/>
      <c r="CG157" s="16"/>
      <c r="CH157" s="16"/>
      <c r="CI157" s="23"/>
      <c r="CJ157" s="23">
        <f t="shared" si="120"/>
        <v>0</v>
      </c>
      <c r="CK157" s="20"/>
      <c r="CL157" s="20"/>
      <c r="CM157" s="20"/>
      <c r="CN157" s="20"/>
      <c r="CO157" s="23">
        <f t="shared" si="121"/>
        <v>0</v>
      </c>
      <c r="CP157" s="16"/>
      <c r="CQ157" s="16"/>
      <c r="CR157" s="16"/>
      <c r="CS157" s="16"/>
      <c r="CT157" s="23">
        <f t="shared" si="122"/>
        <v>0</v>
      </c>
      <c r="CU157" s="20"/>
      <c r="CV157" s="20" t="s">
        <v>69</v>
      </c>
      <c r="CW157" s="20"/>
      <c r="CX157" s="20">
        <v>1000</v>
      </c>
      <c r="CY157" s="23">
        <f t="shared" si="123"/>
        <v>0</v>
      </c>
      <c r="CZ157" s="20"/>
      <c r="DA157" s="20"/>
      <c r="DB157" s="20"/>
      <c r="DC157" s="20"/>
      <c r="DD157" s="23">
        <f t="shared" si="124"/>
        <v>0</v>
      </c>
      <c r="DE157" s="16"/>
      <c r="DF157" s="16"/>
      <c r="DG157" s="16"/>
      <c r="DH157" s="16"/>
      <c r="DI157" s="16">
        <f t="shared" si="125"/>
        <v>0</v>
      </c>
      <c r="DJ157" s="20"/>
      <c r="DK157" s="20"/>
      <c r="DL157" s="20"/>
      <c r="DM157" s="20"/>
      <c r="DN157" s="16">
        <f t="shared" si="126"/>
        <v>0</v>
      </c>
      <c r="DO157" s="20"/>
      <c r="DP157" s="20"/>
      <c r="DQ157" s="20"/>
      <c r="DR157" s="20"/>
      <c r="DS157" s="16">
        <f t="shared" si="127"/>
        <v>0</v>
      </c>
      <c r="DT157" s="20"/>
      <c r="DU157" s="20"/>
      <c r="DV157" s="20"/>
      <c r="DW157" s="20"/>
      <c r="DX157" s="24">
        <f t="shared" si="128"/>
        <v>0</v>
      </c>
    </row>
    <row r="158" spans="1:128" s="2" customFormat="1" x14ac:dyDescent="0.3">
      <c r="A158" s="28"/>
      <c r="B158" s="29" t="s">
        <v>292</v>
      </c>
      <c r="C158" s="29">
        <f>SUM(C131:C157)</f>
        <v>0</v>
      </c>
      <c r="D158" s="30" t="s">
        <v>293</v>
      </c>
      <c r="E158" s="30"/>
      <c r="F158" s="30"/>
      <c r="G158" s="30"/>
      <c r="H158" s="31">
        <f>SUM(H131:H157)</f>
        <v>0</v>
      </c>
      <c r="I158" s="32" t="s">
        <v>293</v>
      </c>
      <c r="J158" s="32"/>
      <c r="K158" s="32"/>
      <c r="L158" s="32"/>
      <c r="M158" s="29">
        <f>SUM(M131:M157)</f>
        <v>0</v>
      </c>
      <c r="N158" s="33" t="s">
        <v>293</v>
      </c>
      <c r="O158" s="33"/>
      <c r="P158" s="33"/>
      <c r="Q158" s="34"/>
      <c r="R158" s="29">
        <f>SUM(R131:R157)</f>
        <v>0</v>
      </c>
      <c r="S158" s="30" t="s">
        <v>293</v>
      </c>
      <c r="T158" s="30"/>
      <c r="U158" s="30"/>
      <c r="V158" s="30"/>
      <c r="W158" s="31">
        <f>SUM(W131:W157)</f>
        <v>0</v>
      </c>
      <c r="X158" s="32" t="s">
        <v>293</v>
      </c>
      <c r="Y158" s="32"/>
      <c r="Z158" s="32"/>
      <c r="AA158" s="32"/>
      <c r="AB158" s="29">
        <f>SUM(AB131:AB157)</f>
        <v>0</v>
      </c>
      <c r="AC158" s="30" t="s">
        <v>293</v>
      </c>
      <c r="AD158" s="30"/>
      <c r="AE158" s="30"/>
      <c r="AF158" s="30"/>
      <c r="AG158" s="31">
        <f>SUM(AG131:AG157)</f>
        <v>0</v>
      </c>
      <c r="AH158" s="32" t="s">
        <v>293</v>
      </c>
      <c r="AI158" s="32"/>
      <c r="AJ158" s="32"/>
      <c r="AK158" s="32"/>
      <c r="AL158" s="29">
        <f>SUM(AL131:AL157)</f>
        <v>0</v>
      </c>
      <c r="AM158" s="32" t="s">
        <v>293</v>
      </c>
      <c r="AN158" s="32"/>
      <c r="AO158" s="32"/>
      <c r="AP158" s="32"/>
      <c r="AQ158" s="29">
        <f>SUM(AQ131:AQ157)</f>
        <v>0</v>
      </c>
      <c r="AR158" s="32" t="s">
        <v>293</v>
      </c>
      <c r="AS158" s="32"/>
      <c r="AT158" s="32"/>
      <c r="AU158" s="32"/>
      <c r="AV158" s="29">
        <f>SUM(AV131:AV157)</f>
        <v>0</v>
      </c>
      <c r="AW158" s="32" t="s">
        <v>293</v>
      </c>
      <c r="AX158" s="32"/>
      <c r="AY158" s="32"/>
      <c r="AZ158" s="32"/>
      <c r="BA158" s="29">
        <f>SUM(BA131:BA157)</f>
        <v>0</v>
      </c>
      <c r="BB158" s="30" t="s">
        <v>293</v>
      </c>
      <c r="BC158" s="30"/>
      <c r="BD158" s="30"/>
      <c r="BE158" s="30"/>
      <c r="BF158" s="31">
        <f>SUM(BF131:BF157)</f>
        <v>0</v>
      </c>
      <c r="BG158" s="30" t="s">
        <v>293</v>
      </c>
      <c r="BH158" s="30"/>
      <c r="BI158" s="30"/>
      <c r="BJ158" s="30"/>
      <c r="BK158" s="31">
        <f>SUM(BK131:BK157)</f>
        <v>0</v>
      </c>
      <c r="BL158" s="32" t="s">
        <v>293</v>
      </c>
      <c r="BM158" s="32"/>
      <c r="BN158" s="32"/>
      <c r="BO158" s="32"/>
      <c r="BP158" s="29">
        <f>SUM(BP131:BP157)</f>
        <v>0</v>
      </c>
      <c r="BQ158" s="32" t="s">
        <v>293</v>
      </c>
      <c r="BR158" s="32"/>
      <c r="BS158" s="32"/>
      <c r="BT158" s="32"/>
      <c r="BU158" s="29">
        <f>SUM(BU131:BU157)</f>
        <v>0</v>
      </c>
      <c r="BV158" s="32" t="s">
        <v>293</v>
      </c>
      <c r="BW158" s="32"/>
      <c r="BX158" s="32"/>
      <c r="BY158" s="32"/>
      <c r="BZ158" s="29">
        <f>SUM(BZ131:BZ157)</f>
        <v>0</v>
      </c>
      <c r="CA158" s="32" t="s">
        <v>293</v>
      </c>
      <c r="CB158" s="32"/>
      <c r="CC158" s="32"/>
      <c r="CD158" s="32"/>
      <c r="CE158" s="29">
        <f>SUM(CE131:CE157)</f>
        <v>0</v>
      </c>
      <c r="CF158" s="32" t="s">
        <v>293</v>
      </c>
      <c r="CG158" s="32"/>
      <c r="CH158" s="32"/>
      <c r="CI158" s="32"/>
      <c r="CJ158" s="29">
        <f>SUM(CJ131:CJ157)</f>
        <v>0</v>
      </c>
      <c r="CK158" s="30" t="s">
        <v>293</v>
      </c>
      <c r="CL158" s="30"/>
      <c r="CM158" s="30"/>
      <c r="CN158" s="30"/>
      <c r="CO158" s="29">
        <f>SUM(CO131:CO157)</f>
        <v>0</v>
      </c>
      <c r="CP158" s="32" t="s">
        <v>293</v>
      </c>
      <c r="CQ158" s="32"/>
      <c r="CR158" s="32"/>
      <c r="CS158" s="32"/>
      <c r="CT158" s="29">
        <f>SUM(CT131:CT157)</f>
        <v>0</v>
      </c>
      <c r="CU158" s="30" t="s">
        <v>293</v>
      </c>
      <c r="CV158" s="30"/>
      <c r="CW158" s="30"/>
      <c r="CX158" s="30"/>
      <c r="CY158" s="29">
        <f>SUM(CY131:CY157)</f>
        <v>0</v>
      </c>
      <c r="CZ158" s="30" t="s">
        <v>293</v>
      </c>
      <c r="DA158" s="30"/>
      <c r="DB158" s="30"/>
      <c r="DC158" s="30"/>
      <c r="DD158" s="29">
        <f>SUM(DD131:DD157)</f>
        <v>0</v>
      </c>
      <c r="DE158" s="32" t="s">
        <v>293</v>
      </c>
      <c r="DF158" s="32"/>
      <c r="DG158" s="32"/>
      <c r="DH158" s="32"/>
      <c r="DI158" s="29">
        <f>SUM(DI131:DI157)</f>
        <v>0</v>
      </c>
      <c r="DJ158" s="30" t="s">
        <v>293</v>
      </c>
      <c r="DK158" s="30"/>
      <c r="DL158" s="30"/>
      <c r="DM158" s="30"/>
      <c r="DN158" s="29">
        <f>SUM(DN131:DN157)</f>
        <v>0</v>
      </c>
      <c r="DO158" s="33" t="s">
        <v>293</v>
      </c>
      <c r="DP158" s="35"/>
      <c r="DQ158" s="35"/>
      <c r="DR158" s="36"/>
      <c r="DS158" s="29">
        <f>SUM(DS131:DS157)</f>
        <v>0</v>
      </c>
      <c r="DT158" s="30" t="s">
        <v>293</v>
      </c>
      <c r="DU158" s="30"/>
      <c r="DV158" s="30"/>
      <c r="DW158" s="30"/>
      <c r="DX158" s="37">
        <f>SUM(DX131:DX157)</f>
        <v>0</v>
      </c>
    </row>
    <row r="159" spans="1:128" s="2" customFormat="1" x14ac:dyDescent="0.3"/>
    <row r="160" spans="1:128" s="2" customFormat="1" x14ac:dyDescent="0.3"/>
    <row r="161" spans="2:9" s="2" customFormat="1" x14ac:dyDescent="0.3">
      <c r="B161" s="57" t="str">
        <f>B131</f>
        <v>KASIR</v>
      </c>
      <c r="C161" s="58">
        <f t="shared" ref="C161:C185" si="129">C131+C101+C70+C40+C10</f>
        <v>396350</v>
      </c>
      <c r="E161" s="6">
        <v>500000</v>
      </c>
    </row>
    <row r="162" spans="2:9" s="2" customFormat="1" x14ac:dyDescent="0.3">
      <c r="B162" s="57" t="str">
        <f>B132</f>
        <v>IGD</v>
      </c>
      <c r="C162" s="58">
        <f t="shared" si="129"/>
        <v>128600</v>
      </c>
      <c r="E162" s="6">
        <v>1741000</v>
      </c>
    </row>
    <row r="163" spans="2:9" s="2" customFormat="1" x14ac:dyDescent="0.3">
      <c r="B163" s="57" t="str">
        <f>B133</f>
        <v xml:space="preserve">PENDAFTARAN </v>
      </c>
      <c r="C163" s="58">
        <f t="shared" si="129"/>
        <v>1048000</v>
      </c>
      <c r="E163" s="6">
        <v>6247350</v>
      </c>
    </row>
    <row r="164" spans="2:9" s="2" customFormat="1" x14ac:dyDescent="0.3">
      <c r="B164" s="57" t="str">
        <f>B134</f>
        <v>MADINAH 2</v>
      </c>
      <c r="C164" s="58">
        <f t="shared" si="129"/>
        <v>141400</v>
      </c>
      <c r="E164" s="6">
        <v>864850</v>
      </c>
    </row>
    <row r="165" spans="2:9" s="2" customFormat="1" x14ac:dyDescent="0.3">
      <c r="B165" s="57" t="s">
        <v>10</v>
      </c>
      <c r="C165" s="58">
        <f t="shared" si="129"/>
        <v>1635000</v>
      </c>
      <c r="E165" s="6">
        <v>7140000</v>
      </c>
      <c r="G165" s="59"/>
      <c r="H165" s="59"/>
      <c r="I165" s="59"/>
    </row>
    <row r="166" spans="2:9" s="2" customFormat="1" x14ac:dyDescent="0.3">
      <c r="B166" s="57" t="str">
        <f t="shared" ref="B166:B171" si="130">B136</f>
        <v>FARMASI</v>
      </c>
      <c r="C166" s="58">
        <f t="shared" si="129"/>
        <v>613700</v>
      </c>
      <c r="E166" s="6">
        <v>5631200</v>
      </c>
      <c r="G166" s="60"/>
      <c r="H166" s="60"/>
      <c r="I166" s="59"/>
    </row>
    <row r="167" spans="2:9" s="2" customFormat="1" x14ac:dyDescent="0.3">
      <c r="B167" s="57" t="str">
        <f t="shared" si="130"/>
        <v>POLI</v>
      </c>
      <c r="C167" s="58">
        <f t="shared" si="129"/>
        <v>303800</v>
      </c>
      <c r="E167" s="6">
        <v>1272050</v>
      </c>
      <c r="G167" s="60"/>
      <c r="H167" s="60"/>
      <c r="I167" s="59"/>
    </row>
    <row r="168" spans="2:9" s="2" customFormat="1" x14ac:dyDescent="0.3">
      <c r="B168" s="57" t="str">
        <f t="shared" si="130"/>
        <v>RADIOLOGI</v>
      </c>
      <c r="C168" s="58">
        <f t="shared" si="129"/>
        <v>110000</v>
      </c>
      <c r="E168" s="6">
        <v>3993500</v>
      </c>
      <c r="G168" s="60"/>
      <c r="H168" s="60"/>
      <c r="I168" s="59"/>
    </row>
    <row r="169" spans="2:9" s="2" customFormat="1" x14ac:dyDescent="0.3">
      <c r="B169" s="57" t="str">
        <f t="shared" si="130"/>
        <v>LABORAT</v>
      </c>
      <c r="C169" s="58">
        <f t="shared" si="129"/>
        <v>194800</v>
      </c>
      <c r="E169" s="6">
        <v>828700</v>
      </c>
      <c r="G169" s="60"/>
      <c r="H169" s="60"/>
      <c r="I169" s="59"/>
    </row>
    <row r="170" spans="2:9" s="2" customFormat="1" x14ac:dyDescent="0.3">
      <c r="B170" s="57" t="str">
        <f t="shared" si="130"/>
        <v>OK</v>
      </c>
      <c r="C170" s="58">
        <f t="shared" si="129"/>
        <v>292500</v>
      </c>
      <c r="E170" s="6">
        <v>244500</v>
      </c>
      <c r="G170" s="60"/>
      <c r="H170" s="60"/>
      <c r="I170" s="59"/>
    </row>
    <row r="171" spans="2:9" s="2" customFormat="1" x14ac:dyDescent="0.3">
      <c r="B171" s="57" t="str">
        <f t="shared" si="130"/>
        <v>VK</v>
      </c>
      <c r="C171" s="58">
        <f t="shared" si="129"/>
        <v>252000</v>
      </c>
      <c r="E171" s="6">
        <v>331200</v>
      </c>
      <c r="G171" s="60"/>
      <c r="H171" s="60"/>
      <c r="I171" s="59"/>
    </row>
    <row r="172" spans="2:9" s="2" customFormat="1" x14ac:dyDescent="0.3">
      <c r="B172" s="57" t="s">
        <v>17</v>
      </c>
      <c r="C172" s="58">
        <f t="shared" si="129"/>
        <v>281050</v>
      </c>
      <c r="E172" s="6">
        <v>562200</v>
      </c>
      <c r="G172" s="61"/>
      <c r="H172" s="61"/>
    </row>
    <row r="173" spans="2:9" s="2" customFormat="1" x14ac:dyDescent="0.3">
      <c r="B173" s="57" t="str">
        <f>B143</f>
        <v>MARWA</v>
      </c>
      <c r="C173" s="58">
        <f t="shared" si="129"/>
        <v>212450</v>
      </c>
      <c r="E173" s="6">
        <v>802350</v>
      </c>
      <c r="G173" s="61"/>
      <c r="H173" s="61"/>
    </row>
    <row r="174" spans="2:9" s="2" customFormat="1" x14ac:dyDescent="0.3">
      <c r="B174" s="57" t="str">
        <f>B144</f>
        <v xml:space="preserve">HK </v>
      </c>
      <c r="C174" s="58">
        <f t="shared" si="129"/>
        <v>0</v>
      </c>
      <c r="E174" s="6">
        <v>1050300</v>
      </c>
      <c r="G174" s="61"/>
      <c r="H174" s="61"/>
    </row>
    <row r="175" spans="2:9" s="2" customFormat="1" x14ac:dyDescent="0.3">
      <c r="B175" s="57" t="str">
        <f>B145</f>
        <v>LAUNDRY</v>
      </c>
      <c r="C175" s="58">
        <f t="shared" si="129"/>
        <v>1260950</v>
      </c>
      <c r="E175" s="6">
        <v>2485050</v>
      </c>
    </row>
    <row r="176" spans="2:9" s="2" customFormat="1" x14ac:dyDescent="0.3">
      <c r="B176" s="57" t="s">
        <v>21</v>
      </c>
      <c r="C176" s="58">
        <f t="shared" si="129"/>
        <v>6500</v>
      </c>
      <c r="E176" s="6">
        <v>1292450</v>
      </c>
    </row>
    <row r="177" spans="2:5" s="2" customFormat="1" x14ac:dyDescent="0.3">
      <c r="B177" s="57" t="str">
        <f>B147</f>
        <v>ASURANSI</v>
      </c>
      <c r="C177" s="58">
        <f t="shared" si="129"/>
        <v>1369550</v>
      </c>
      <c r="E177" s="6">
        <v>1007900</v>
      </c>
    </row>
    <row r="178" spans="2:5" s="2" customFormat="1" x14ac:dyDescent="0.3">
      <c r="B178" s="57" t="str">
        <f>B148</f>
        <v>FISIOTERAPI</v>
      </c>
      <c r="C178" s="58">
        <f t="shared" si="129"/>
        <v>358700</v>
      </c>
      <c r="E178" s="6">
        <v>372000</v>
      </c>
    </row>
    <row r="179" spans="2:5" s="2" customFormat="1" x14ac:dyDescent="0.3">
      <c r="B179" s="57" t="str">
        <f>B149</f>
        <v>AULA</v>
      </c>
      <c r="C179" s="58">
        <f t="shared" si="129"/>
        <v>163700</v>
      </c>
      <c r="E179" s="6">
        <v>242650</v>
      </c>
    </row>
    <row r="180" spans="2:5" s="2" customFormat="1" x14ac:dyDescent="0.3">
      <c r="B180" s="57" t="s">
        <v>640</v>
      </c>
      <c r="C180" s="58">
        <f t="shared" si="129"/>
        <v>0</v>
      </c>
      <c r="E180" s="6">
        <v>70100</v>
      </c>
    </row>
    <row r="181" spans="2:5" s="2" customFormat="1" x14ac:dyDescent="0.3">
      <c r="B181" s="57" t="s">
        <v>26</v>
      </c>
      <c r="C181" s="58">
        <f t="shared" si="129"/>
        <v>0</v>
      </c>
      <c r="E181" s="6">
        <v>184150</v>
      </c>
    </row>
    <row r="182" spans="2:5" s="2" customFormat="1" x14ac:dyDescent="0.3">
      <c r="B182" s="57" t="str">
        <f>B152</f>
        <v>GIZI</v>
      </c>
      <c r="C182" s="58">
        <f t="shared" si="129"/>
        <v>167100</v>
      </c>
      <c r="E182" s="6">
        <v>630450</v>
      </c>
    </row>
    <row r="183" spans="2:5" s="2" customFormat="1" x14ac:dyDescent="0.3">
      <c r="B183" s="57" t="s">
        <v>28</v>
      </c>
      <c r="C183" s="58">
        <f t="shared" si="129"/>
        <v>129300</v>
      </c>
      <c r="E183" s="6">
        <v>240350</v>
      </c>
    </row>
    <row r="184" spans="2:5" s="2" customFormat="1" x14ac:dyDescent="0.3">
      <c r="B184" s="57" t="s">
        <v>29</v>
      </c>
      <c r="C184" s="58">
        <f t="shared" si="129"/>
        <v>120400</v>
      </c>
      <c r="E184" s="6">
        <v>381250</v>
      </c>
    </row>
    <row r="185" spans="2:5" s="2" customFormat="1" x14ac:dyDescent="0.3">
      <c r="B185" s="57" t="s">
        <v>30</v>
      </c>
      <c r="C185" s="58">
        <f t="shared" si="129"/>
        <v>83000</v>
      </c>
      <c r="E185" s="6">
        <v>72900</v>
      </c>
    </row>
    <row r="186" spans="2:5" s="2" customFormat="1" x14ac:dyDescent="0.3"/>
  </sheetData>
  <mergeCells count="395">
    <mergeCell ref="CZ158:DC158"/>
    <mergeCell ref="DE158:DH158"/>
    <mergeCell ref="DJ158:DM158"/>
    <mergeCell ref="DO158:DR158"/>
    <mergeCell ref="DT158:DW158"/>
    <mergeCell ref="BV158:BY158"/>
    <mergeCell ref="CA158:CD158"/>
    <mergeCell ref="CF158:CI158"/>
    <mergeCell ref="CK158:CN158"/>
    <mergeCell ref="CP158:CS158"/>
    <mergeCell ref="CU158:CX158"/>
    <mergeCell ref="AR158:AU158"/>
    <mergeCell ref="AW158:AZ158"/>
    <mergeCell ref="BB158:BE158"/>
    <mergeCell ref="BG158:BJ158"/>
    <mergeCell ref="BL158:BO158"/>
    <mergeCell ref="BQ158:BT158"/>
    <mergeCell ref="DT129:DT130"/>
    <mergeCell ref="DU129:DX129"/>
    <mergeCell ref="D158:G158"/>
    <mergeCell ref="I158:L158"/>
    <mergeCell ref="N158:P158"/>
    <mergeCell ref="S158:V158"/>
    <mergeCell ref="X158:AA158"/>
    <mergeCell ref="AC158:AF158"/>
    <mergeCell ref="AH158:AK158"/>
    <mergeCell ref="AM158:AP158"/>
    <mergeCell ref="DE129:DE130"/>
    <mergeCell ref="DF129:DI129"/>
    <mergeCell ref="DJ129:DJ130"/>
    <mergeCell ref="DK129:DN129"/>
    <mergeCell ref="DO129:DO130"/>
    <mergeCell ref="DP129:DS129"/>
    <mergeCell ref="CP129:CP130"/>
    <mergeCell ref="CQ129:CT129"/>
    <mergeCell ref="CU129:CU130"/>
    <mergeCell ref="CV129:CY129"/>
    <mergeCell ref="CZ129:CZ130"/>
    <mergeCell ref="DA129:DD129"/>
    <mergeCell ref="CA129:CA130"/>
    <mergeCell ref="CB129:CE129"/>
    <mergeCell ref="CF129:CF130"/>
    <mergeCell ref="CG129:CJ129"/>
    <mergeCell ref="CK129:CK130"/>
    <mergeCell ref="CL129:CO129"/>
    <mergeCell ref="BL129:BL130"/>
    <mergeCell ref="BM129:BP129"/>
    <mergeCell ref="BQ129:BQ130"/>
    <mergeCell ref="BR129:BU129"/>
    <mergeCell ref="BV129:BV130"/>
    <mergeCell ref="BW129:BZ129"/>
    <mergeCell ref="AW129:AW130"/>
    <mergeCell ref="AX129:BA129"/>
    <mergeCell ref="BB129:BB130"/>
    <mergeCell ref="BC129:BF129"/>
    <mergeCell ref="BG129:BG130"/>
    <mergeCell ref="BH129:BK129"/>
    <mergeCell ref="AH129:AH130"/>
    <mergeCell ref="AI129:AL129"/>
    <mergeCell ref="AM129:AM130"/>
    <mergeCell ref="AN129:AQ129"/>
    <mergeCell ref="AR129:AR130"/>
    <mergeCell ref="AS129:AV129"/>
    <mergeCell ref="S129:S130"/>
    <mergeCell ref="T129:W129"/>
    <mergeCell ref="X129:X130"/>
    <mergeCell ref="Y129:AB129"/>
    <mergeCell ref="AC129:AC130"/>
    <mergeCell ref="AD129:AG129"/>
    <mergeCell ref="DT128:DW128"/>
    <mergeCell ref="A129:A130"/>
    <mergeCell ref="B129:B130"/>
    <mergeCell ref="C129:C130"/>
    <mergeCell ref="D129:D130"/>
    <mergeCell ref="E129:H129"/>
    <mergeCell ref="I129:I130"/>
    <mergeCell ref="J129:M129"/>
    <mergeCell ref="N129:N130"/>
    <mergeCell ref="O129:R129"/>
    <mergeCell ref="CP128:CS128"/>
    <mergeCell ref="CU128:CX128"/>
    <mergeCell ref="CZ128:DC128"/>
    <mergeCell ref="DE128:DH128"/>
    <mergeCell ref="DJ128:DM128"/>
    <mergeCell ref="DO128:DR128"/>
    <mergeCell ref="BL128:BO128"/>
    <mergeCell ref="BQ128:BT128"/>
    <mergeCell ref="BV128:BY128"/>
    <mergeCell ref="CA128:CD128"/>
    <mergeCell ref="CF128:CI128"/>
    <mergeCell ref="CK128:CN128"/>
    <mergeCell ref="AH128:AK128"/>
    <mergeCell ref="AM128:AP128"/>
    <mergeCell ref="AR128:AU128"/>
    <mergeCell ref="AW128:AZ128"/>
    <mergeCell ref="BB128:BE128"/>
    <mergeCell ref="BG128:BJ128"/>
    <mergeCell ref="DO99:DO100"/>
    <mergeCell ref="DP99:DS99"/>
    <mergeCell ref="DT99:DT100"/>
    <mergeCell ref="DU99:DX99"/>
    <mergeCell ref="D128:G128"/>
    <mergeCell ref="I128:L128"/>
    <mergeCell ref="N128:P128"/>
    <mergeCell ref="S128:V128"/>
    <mergeCell ref="X128:AA128"/>
    <mergeCell ref="AC128:AF128"/>
    <mergeCell ref="CZ99:CZ100"/>
    <mergeCell ref="DA99:DD99"/>
    <mergeCell ref="DE99:DE100"/>
    <mergeCell ref="DF99:DI99"/>
    <mergeCell ref="DJ99:DJ100"/>
    <mergeCell ref="DK99:DN99"/>
    <mergeCell ref="CK99:CK100"/>
    <mergeCell ref="CL99:CO99"/>
    <mergeCell ref="CP99:CP100"/>
    <mergeCell ref="CQ99:CT99"/>
    <mergeCell ref="CU99:CU100"/>
    <mergeCell ref="CV99:CY99"/>
    <mergeCell ref="BV99:BV100"/>
    <mergeCell ref="BW99:BZ99"/>
    <mergeCell ref="CA99:CA100"/>
    <mergeCell ref="CB99:CE99"/>
    <mergeCell ref="CF99:CF100"/>
    <mergeCell ref="CG99:CJ99"/>
    <mergeCell ref="BG99:BG100"/>
    <mergeCell ref="BH99:BK99"/>
    <mergeCell ref="BL99:BL100"/>
    <mergeCell ref="BM99:BP99"/>
    <mergeCell ref="BQ99:BQ100"/>
    <mergeCell ref="BR99:BU99"/>
    <mergeCell ref="AR99:AR100"/>
    <mergeCell ref="AS99:AV99"/>
    <mergeCell ref="AW99:AW100"/>
    <mergeCell ref="AX99:BA99"/>
    <mergeCell ref="BB99:BB100"/>
    <mergeCell ref="BC99:BF99"/>
    <mergeCell ref="AC99:AC100"/>
    <mergeCell ref="AD99:AG99"/>
    <mergeCell ref="AH99:AH100"/>
    <mergeCell ref="AI99:AL99"/>
    <mergeCell ref="AM99:AM100"/>
    <mergeCell ref="AN99:AQ99"/>
    <mergeCell ref="N99:N100"/>
    <mergeCell ref="O99:R99"/>
    <mergeCell ref="S99:S100"/>
    <mergeCell ref="T99:W99"/>
    <mergeCell ref="X99:X100"/>
    <mergeCell ref="Y99:AB99"/>
    <mergeCell ref="DO97:DR97"/>
    <mergeCell ref="DT97:DW97"/>
    <mergeCell ref="A98:XFD98"/>
    <mergeCell ref="A99:A100"/>
    <mergeCell ref="B99:B100"/>
    <mergeCell ref="C99:C100"/>
    <mergeCell ref="D99:D100"/>
    <mergeCell ref="E99:H99"/>
    <mergeCell ref="I99:I100"/>
    <mergeCell ref="J99:M99"/>
    <mergeCell ref="CK97:CN97"/>
    <mergeCell ref="CP97:CS97"/>
    <mergeCell ref="CU97:CX97"/>
    <mergeCell ref="CZ97:DC97"/>
    <mergeCell ref="DE97:DH97"/>
    <mergeCell ref="DJ97:DM97"/>
    <mergeCell ref="BG97:BJ97"/>
    <mergeCell ref="BL97:BO97"/>
    <mergeCell ref="BQ97:BT97"/>
    <mergeCell ref="BV97:BY97"/>
    <mergeCell ref="CA97:CD97"/>
    <mergeCell ref="CF97:CI97"/>
    <mergeCell ref="AC97:AF97"/>
    <mergeCell ref="AH97:AK97"/>
    <mergeCell ref="AM97:AP97"/>
    <mergeCell ref="AR97:AU97"/>
    <mergeCell ref="AW97:AZ97"/>
    <mergeCell ref="BB97:BE97"/>
    <mergeCell ref="DK68:DN68"/>
    <mergeCell ref="DO68:DO69"/>
    <mergeCell ref="DP68:DS68"/>
    <mergeCell ref="DT68:DT69"/>
    <mergeCell ref="DU68:DX68"/>
    <mergeCell ref="D97:G97"/>
    <mergeCell ref="I97:L97"/>
    <mergeCell ref="N97:P97"/>
    <mergeCell ref="S97:V97"/>
    <mergeCell ref="X97:AA97"/>
    <mergeCell ref="CV68:CY68"/>
    <mergeCell ref="CZ68:CZ69"/>
    <mergeCell ref="DA68:DD68"/>
    <mergeCell ref="DE68:DE69"/>
    <mergeCell ref="DF68:DI68"/>
    <mergeCell ref="DJ68:DJ69"/>
    <mergeCell ref="CG68:CJ68"/>
    <mergeCell ref="CK68:CK69"/>
    <mergeCell ref="CL68:CO68"/>
    <mergeCell ref="CP68:CP69"/>
    <mergeCell ref="CQ68:CT68"/>
    <mergeCell ref="CU68:CU69"/>
    <mergeCell ref="BR68:BU68"/>
    <mergeCell ref="BV68:BV69"/>
    <mergeCell ref="BW68:BZ68"/>
    <mergeCell ref="CA68:CA69"/>
    <mergeCell ref="CB68:CE68"/>
    <mergeCell ref="CF68:CF69"/>
    <mergeCell ref="BC68:BF68"/>
    <mergeCell ref="BG68:BG69"/>
    <mergeCell ref="BH68:BK68"/>
    <mergeCell ref="BL68:BL69"/>
    <mergeCell ref="BM68:BP68"/>
    <mergeCell ref="BQ68:BQ69"/>
    <mergeCell ref="AN68:AQ68"/>
    <mergeCell ref="AR68:AR69"/>
    <mergeCell ref="AS68:AV68"/>
    <mergeCell ref="AW68:AW69"/>
    <mergeCell ref="AX68:BA68"/>
    <mergeCell ref="BB68:BB69"/>
    <mergeCell ref="Y68:AB68"/>
    <mergeCell ref="AC68:AC69"/>
    <mergeCell ref="AD68:AG68"/>
    <mergeCell ref="AH68:AH69"/>
    <mergeCell ref="AI68:AL68"/>
    <mergeCell ref="AM68:AM69"/>
    <mergeCell ref="J68:M68"/>
    <mergeCell ref="N68:N69"/>
    <mergeCell ref="O68:R68"/>
    <mergeCell ref="S68:S69"/>
    <mergeCell ref="T68:W68"/>
    <mergeCell ref="X68:X69"/>
    <mergeCell ref="A68:A69"/>
    <mergeCell ref="B68:B69"/>
    <mergeCell ref="C68:C69"/>
    <mergeCell ref="D68:D69"/>
    <mergeCell ref="E68:H68"/>
    <mergeCell ref="I68:I69"/>
    <mergeCell ref="CU67:CX67"/>
    <mergeCell ref="CZ67:DC67"/>
    <mergeCell ref="DE67:DH67"/>
    <mergeCell ref="DJ67:DM67"/>
    <mergeCell ref="DO67:DR67"/>
    <mergeCell ref="DT67:DW67"/>
    <mergeCell ref="BQ67:BT67"/>
    <mergeCell ref="BV67:BY67"/>
    <mergeCell ref="CA67:CD67"/>
    <mergeCell ref="CF67:CI67"/>
    <mergeCell ref="CK67:CN67"/>
    <mergeCell ref="CP67:CS67"/>
    <mergeCell ref="AM67:AP67"/>
    <mergeCell ref="AR67:AU67"/>
    <mergeCell ref="AW67:AZ67"/>
    <mergeCell ref="BB67:BE67"/>
    <mergeCell ref="BG67:BJ67"/>
    <mergeCell ref="BL67:BO67"/>
    <mergeCell ref="DP38:DS38"/>
    <mergeCell ref="DT38:DT39"/>
    <mergeCell ref="DU38:DX38"/>
    <mergeCell ref="D67:G67"/>
    <mergeCell ref="I67:L67"/>
    <mergeCell ref="N67:P67"/>
    <mergeCell ref="S67:V67"/>
    <mergeCell ref="X67:AA67"/>
    <mergeCell ref="AC67:AF67"/>
    <mergeCell ref="AH67:AK67"/>
    <mergeCell ref="DA38:DD38"/>
    <mergeCell ref="DE38:DE39"/>
    <mergeCell ref="DF38:DI38"/>
    <mergeCell ref="DJ38:DJ39"/>
    <mergeCell ref="DK38:DN38"/>
    <mergeCell ref="DO38:DO39"/>
    <mergeCell ref="CL38:CO38"/>
    <mergeCell ref="CP38:CP39"/>
    <mergeCell ref="CQ38:CT38"/>
    <mergeCell ref="CU38:CU39"/>
    <mergeCell ref="CV38:CY38"/>
    <mergeCell ref="CZ38:CZ39"/>
    <mergeCell ref="BW38:BZ38"/>
    <mergeCell ref="CA38:CA39"/>
    <mergeCell ref="CB38:CE38"/>
    <mergeCell ref="CF38:CF39"/>
    <mergeCell ref="CG38:CJ38"/>
    <mergeCell ref="CK38:CK39"/>
    <mergeCell ref="BH38:BK38"/>
    <mergeCell ref="BL38:BL39"/>
    <mergeCell ref="BM38:BP38"/>
    <mergeCell ref="BQ38:BQ39"/>
    <mergeCell ref="BR38:BU38"/>
    <mergeCell ref="BV38:BV39"/>
    <mergeCell ref="AS38:AV38"/>
    <mergeCell ref="AW38:AW39"/>
    <mergeCell ref="AX38:BA38"/>
    <mergeCell ref="BB38:BB39"/>
    <mergeCell ref="BC38:BF38"/>
    <mergeCell ref="BG38:BG39"/>
    <mergeCell ref="AD38:AG38"/>
    <mergeCell ref="AH38:AH39"/>
    <mergeCell ref="AI38:AL38"/>
    <mergeCell ref="AM38:AM39"/>
    <mergeCell ref="AN38:AQ38"/>
    <mergeCell ref="AR38:AR39"/>
    <mergeCell ref="O38:R38"/>
    <mergeCell ref="S38:S39"/>
    <mergeCell ref="T38:W38"/>
    <mergeCell ref="X38:X39"/>
    <mergeCell ref="Y38:AB38"/>
    <mergeCell ref="AC38:AC39"/>
    <mergeCell ref="DO37:DR37"/>
    <mergeCell ref="DT37:DW37"/>
    <mergeCell ref="A38:A39"/>
    <mergeCell ref="B38:B39"/>
    <mergeCell ref="C38:C39"/>
    <mergeCell ref="D38:D39"/>
    <mergeCell ref="E38:H38"/>
    <mergeCell ref="I38:I39"/>
    <mergeCell ref="J38:M38"/>
    <mergeCell ref="N38:N39"/>
    <mergeCell ref="CK37:CN37"/>
    <mergeCell ref="CP37:CS37"/>
    <mergeCell ref="CU37:CX37"/>
    <mergeCell ref="CZ37:DC37"/>
    <mergeCell ref="DE37:DH37"/>
    <mergeCell ref="DJ37:DM37"/>
    <mergeCell ref="BG37:BJ37"/>
    <mergeCell ref="BL37:BO37"/>
    <mergeCell ref="BQ37:BT37"/>
    <mergeCell ref="BV37:BY37"/>
    <mergeCell ref="CA37:CD37"/>
    <mergeCell ref="CF37:CI37"/>
    <mergeCell ref="AC37:AF37"/>
    <mergeCell ref="AH37:AK37"/>
    <mergeCell ref="AM37:AP37"/>
    <mergeCell ref="AR37:AU37"/>
    <mergeCell ref="AW37:AZ37"/>
    <mergeCell ref="BB37:BE37"/>
    <mergeCell ref="DK8:DN8"/>
    <mergeCell ref="DO8:DO9"/>
    <mergeCell ref="DP8:DS8"/>
    <mergeCell ref="DT8:DT9"/>
    <mergeCell ref="DU8:DX8"/>
    <mergeCell ref="D37:G37"/>
    <mergeCell ref="I37:L37"/>
    <mergeCell ref="N37:P37"/>
    <mergeCell ref="S37:V37"/>
    <mergeCell ref="X37:AA37"/>
    <mergeCell ref="CV8:CY8"/>
    <mergeCell ref="CZ8:CZ9"/>
    <mergeCell ref="DA8:DD8"/>
    <mergeCell ref="DE8:DE9"/>
    <mergeCell ref="DF8:DI8"/>
    <mergeCell ref="DJ8:DJ9"/>
    <mergeCell ref="CG8:CJ8"/>
    <mergeCell ref="CK8:CK9"/>
    <mergeCell ref="CL8:CO8"/>
    <mergeCell ref="CP8:CP9"/>
    <mergeCell ref="CQ8:CT8"/>
    <mergeCell ref="CU8:CU9"/>
    <mergeCell ref="BR8:BU8"/>
    <mergeCell ref="BV8:BV9"/>
    <mergeCell ref="BW8:BZ8"/>
    <mergeCell ref="CA8:CA9"/>
    <mergeCell ref="CB8:CE8"/>
    <mergeCell ref="CF8:CF9"/>
    <mergeCell ref="BC8:BF8"/>
    <mergeCell ref="BG8:BG9"/>
    <mergeCell ref="BH8:BK8"/>
    <mergeCell ref="BL8:BL9"/>
    <mergeCell ref="BM8:BP8"/>
    <mergeCell ref="BQ8:BQ9"/>
    <mergeCell ref="AN8:AQ8"/>
    <mergeCell ref="AR8:AR9"/>
    <mergeCell ref="AS8:AV8"/>
    <mergeCell ref="AW8:AW9"/>
    <mergeCell ref="AX8:BA8"/>
    <mergeCell ref="BB8:BB9"/>
    <mergeCell ref="Y8:AB8"/>
    <mergeCell ref="AC8:AC9"/>
    <mergeCell ref="AD8:AG8"/>
    <mergeCell ref="AH8:AH9"/>
    <mergeCell ref="AI8:AL8"/>
    <mergeCell ref="AM8:AM9"/>
    <mergeCell ref="J8:M8"/>
    <mergeCell ref="N8:N9"/>
    <mergeCell ref="O8:R8"/>
    <mergeCell ref="S8:S9"/>
    <mergeCell ref="T8:W8"/>
    <mergeCell ref="X8:X9"/>
    <mergeCell ref="A1:R2"/>
    <mergeCell ref="S1:AJ2"/>
    <mergeCell ref="A3:P4"/>
    <mergeCell ref="Y3:AD3"/>
    <mergeCell ref="A8:A9"/>
    <mergeCell ref="B8:B9"/>
    <mergeCell ref="C8:C9"/>
    <mergeCell ref="D8:D9"/>
    <mergeCell ref="E8:H8"/>
    <mergeCell ref="I8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SEPTEMBER 2026</vt:lpstr>
      <vt:lpstr>'SEPTEMBER 2026'!a</vt:lpstr>
      <vt:lpstr>'SEPTEMBER 2026'!AA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hanafi</dc:creator>
  <cp:lastModifiedBy>muhammad hanafi</cp:lastModifiedBy>
  <dcterms:created xsi:type="dcterms:W3CDTF">2026-09-13T07:55:02Z</dcterms:created>
  <dcterms:modified xsi:type="dcterms:W3CDTF">2026-09-13T07:55:20Z</dcterms:modified>
</cp:coreProperties>
</file>